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c167bab2b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RP_Weekly" sheetId="1" r:id="R28e9b255deff4180"/>
    <x:sheet xmlns:r="http://schemas.openxmlformats.org/officeDocument/2006/relationships" name="Purchase_Plan" sheetId="2" r:id="Rdf0ce02431064479"/>
    <x:sheet xmlns:r="http://schemas.openxmlformats.org/officeDocument/2006/relationships" name="Production_Orders" sheetId="3" r:id="R1d800d7bf5f447ac"/>
    <x:sheet xmlns:r="http://schemas.openxmlformats.org/officeDocument/2006/relationships" name="Materials" sheetId="4" r:id="R9b8294c7ca104f18"/>
    <x:sheet xmlns:r="http://schemas.openxmlformats.org/officeDocument/2006/relationships" name="BOM" sheetId="5" r:id="R2d4dc6f6ab7044b6"/>
    <x:sheet xmlns:r="http://schemas.openxmlformats.org/officeDocument/2006/relationships" name="Products" sheetId="6" r:id="R55cfb5e4f05640e4"/>
    <x:sheet xmlns:r="http://schemas.openxmlformats.org/officeDocument/2006/relationships" name="Dashboard" sheetId="7" r:id="Rd4adb78d56a949d0"/>
    <x:sheet xmlns:r="http://schemas.openxmlformats.org/officeDocument/2006/relationships" name="Assumptions" sheetId="8" r:id="Rf7da6c646cda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$#,##0.00"/>
    <x:numFmt numFmtId="202" formatCode="0"/>
    <x:numFmt numFmtId="203" formatCode="#,##0.0"/>
    <x:numFmt numFmtId="204" formatCode="$#,##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5B7284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1"/>
      <x:color rgb="FF5B7284"/>
      <x:name val="Carlito"/>
    </x:font>
    <x:font>
      <x:b/>
      <x:sz val="22"/>
      <x:color rgb="FF10253B"/>
      <x:name val="Carlito"/>
    </x:font>
    <x:font>
      <x:sz val="11"/>
      <x:color rgb="FF1025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53B"/>
      </x:patternFill>
    </x:fill>
    <x:fill>
      <x:patternFill patternType="solid">
        <x:fgColor rgb="FF096B72"/>
      </x:patternFill>
    </x:fill>
    <x:fill>
      <x:patternFill patternType="solid">
        <x:fgColor rgb="FFDDECF2"/>
      </x:patternFill>
    </x:fill>
    <x:fill>
      <x:patternFill patternType="solid">
        <x:fgColor rgb="FFFFEDCB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202" fontId="8" fillId="4" borderId="0" xfId="0" applyNumberFormat="1" applyFont="1" applyFill="1" applyBorder="1"/>
    <x:xf numFmtId="202" fontId="8" fillId="4" borderId="1" xfId="0" applyNumberFormat="1" applyFont="1" applyFill="1" applyBorder="1"/>
    <x:xf numFmtId="203" fontId="8" fillId="4" borderId="0" xfId="0" applyNumberFormat="1" applyFont="1" applyFill="1" applyBorder="1"/>
    <x:xf numFmtId="203" fontId="8" fillId="4" borderId="1" xfId="0" applyNumberFormat="1" applyFont="1" applyFill="1" applyBorder="1"/>
    <x:xf numFmtId="204" fontId="8" fillId="4" borderId="0" xfId="0" applyNumberFormat="1" applyFont="1" applyFill="1" applyBorder="1"/>
    <x:xf numFmtId="204" fontId="8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9aa01ff6f4d57" /><Relationship Type="http://schemas.openxmlformats.org/officeDocument/2006/relationships/theme" Target="/xl/theme/theme1.xml" Id="R145cb82035bb4ab0" /><Relationship Type="http://schemas.openxmlformats.org/officeDocument/2006/relationships/sharedStrings" Target="/xl/sharedStrings.xml" Id="Racc1229ce94f43f3" /><Relationship Type="http://schemas.openxmlformats.org/officeDocument/2006/relationships/worksheet" Target="/xl/worksheets/sheet1.xml" Id="R28e9b255deff4180" /><Relationship Type="http://schemas.openxmlformats.org/officeDocument/2006/relationships/worksheet" Target="/xl/worksheets/sheet2.xml" Id="Rdf0ce02431064479" /><Relationship Type="http://schemas.openxmlformats.org/officeDocument/2006/relationships/worksheet" Target="/xl/worksheets/sheet3.xml" Id="R1d800d7bf5f447ac" /><Relationship Type="http://schemas.openxmlformats.org/officeDocument/2006/relationships/worksheet" Target="/xl/worksheets/sheet4.xml" Id="R9b8294c7ca104f18" /><Relationship Type="http://schemas.openxmlformats.org/officeDocument/2006/relationships/worksheet" Target="/xl/worksheets/sheet5.xml" Id="R2d4dc6f6ab7044b6" /><Relationship Type="http://schemas.openxmlformats.org/officeDocument/2006/relationships/worksheet" Target="/xl/worksheets/sheet6.xml" Id="R55cfb5e4f05640e4" /><Relationship Type="http://schemas.openxmlformats.org/officeDocument/2006/relationships/worksheet" Target="/xl/worksheets/sheet7.xml" Id="Rd4adb78d56a949d0" /><Relationship Type="http://schemas.openxmlformats.org/officeDocument/2006/relationships/worksheet" Target="/xl/worksheets/sheet8.xml" Id="Rf7da6c646cda4f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c7a1da9a454f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gross ingredient demand (tonnes)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DEMAND (t)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c7a1da9a454f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RPWeeklyTable" displayName="MRPWeeklyTable" ref="A5:X89" headerRowCount="1" totalsRowCount="0" totalsRowShown="0">
  <x:tableColumns count="24">
    <x:tableColumn id="1" name="material_id"/>
    <x:tableColumn id="2" name="material_name"/>
    <x:tableColumn id="3" name="week_index"/>
    <x:tableColumn id="4" name="week_start"/>
    <x:tableColumn id="5" name="opening_unconstrained_kg"/>
    <x:tableColumn id="6" name="gross_requirement_kg"/>
    <x:tableColumn id="7" name="scheduled_receipt_kg"/>
    <x:tableColumn id="8" name="safety_stock_kg"/>
    <x:tableColumn id="9" name="net_requirement_kg"/>
    <x:tableColumn id="10" name="planned_receipt_kg"/>
    <x:tableColumn id="11" name="planned_release_date"/>
    <x:tableColumn id="12" name="lead_time_weeks"/>
    <x:tableColumn id="13" name="late_release_flag"/>
    <x:tableColumn id="14" name="planned_receipt_feasible_kg"/>
    <x:tableColumn id="15" name="projected_end_unconstrained_kg"/>
    <x:tableColumn id="16" name="projected_end_baseline_kg"/>
    <x:tableColumn id="17" name="baseline_backlog_kg"/>
    <x:tableColumn id="18" name="baseline_shortage_flag"/>
    <x:tableColumn id="19" name="projected_end_lead_feasible_kg"/>
    <x:tableColumn id="20" name="feasible_backlog_kg"/>
    <x:tableColumn id="21" name="feasible_shortage_flag"/>
    <x:tableColumn id="22" name="unit_cost_usd_per_kg"/>
    <x:tableColumn id="23" name="planned_purchase_value_usd"/>
    <x:tableColumn id="24" name="scenar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PlanTable" displayName="PurchasePlanTable" ref="A5:P72" headerRowCount="1" totalsRowCount="0" totalsRowShown="0">
  <x:tableColumns count="16">
    <x:tableColumn id="1" name="po_recommendation_id"/>
    <x:tableColumn id="2" name="material_id"/>
    <x:tableColumn id="3" name="material_name"/>
    <x:tableColumn id="4" name="primary_supplier"/>
    <x:tableColumn id="5" name="planned_release_date"/>
    <x:tableColumn id="6" name="requested_receipt_date"/>
    <x:tableColumn id="7" name="week_index"/>
    <x:tableColumn id="8" name="lead_time_weeks"/>
    <x:tableColumn id="9" name="order_qty_kg"/>
    <x:tableColumn id="10" name="unit_cost_usd_per_kg"/>
    <x:tableColumn id="11" name="extended_cost_usd"/>
    <x:tableColumn id="12" name="late_release_flag"/>
    <x:tableColumn id="13" name="release_status"/>
    <x:tableColumn id="14" name="source"/>
    <x:tableColumn id="15" name="delivery_delay_weeks"/>
    <x:tableColumn id="16" name="feasible_receipt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OrdersTable" displayName="ProductionOrdersTable" ref="A5:G149" headerRowCount="1" totalsRowCount="0" totalsRowShown="0">
  <x:tableColumns count="7">
    <x:tableColumn id="1" name="order_id"/>
    <x:tableColumn id="2" name="product_id"/>
    <x:tableColumn id="3" name="week_index"/>
    <x:tableColumn id="4" name="week_start"/>
    <x:tableColumn id="5" name="production_date"/>
    <x:tableColumn id="6" name="planned_volume_m3"/>
    <x:tableColumn id="7" name="order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MasterTable" displayName="MaterialMasterTable" ref="A5:J12" headerRowCount="1" totalsRowCount="0" totalsRowShown="0">
  <x:tableColumns count="10">
    <x:tableColumn id="1" name="material_id"/>
    <x:tableColumn id="2" name="material_name"/>
    <x:tableColumn id="3" name="primary_supplier"/>
    <x:tableColumn id="4" name="lead_time_weeks"/>
    <x:tableColumn id="5" name="moq_kg"/>
    <x:tableColumn id="6" name="order_multiple_kg"/>
    <x:tableColumn id="7" name="unit_cost_usd_per_kg"/>
    <x:tableColumn id="8" name="safety_stock_kg"/>
    <x:tableColumn id="9" name="lead_time_source"/>
    <x:tableColumn id="10" name="price_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MTable" displayName="BOMTable" ref="A5:E33" headerRowCount="1" totalsRowCount="0" totalsRowShown="0">
  <x:tableColumns count="5">
    <x:tableColumn id="1" name="product_id"/>
    <x:tableColumn id="2" name="material_id"/>
    <x:tableColumn id="3" name="kg_per_m3"/>
    <x:tableColumn id="4" name="bom_uom"/>
    <x:tableColumn id="5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Table" displayName="ProductTable" ref="A5:G9" headerRowCount="1" totalsRowCount="0" totalsRowShown="0">
  <x:tableColumns count="7">
    <x:tableColumn id="1" name="product_id"/>
    <x:tableColumn id="2" name="product_name"/>
    <x:tableColumn id="3" name="target_strength_mpa"/>
    <x:tableColumn id="4" name="observed_28d_strength_mpa"/>
    <x:tableColumn id="5" name="source_test_rows"/>
    <x:tableColumn id="6" name="material_cost_usd_m3"/>
    <x:tableColumn id="7" name="recip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5e1b99cb4848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8bee3adfad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2a96f972b4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6f7725f36e46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c71bad085242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1af148567746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84d201a459c458c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1" hidden="0" customWidth="1"/>
    <x:col min="25" max="25" width="24" hidden="0" customWidth="1"/>
  </x:cols>
  <x:sheetData>
    <x:row r="1" ht="22" customHeight="1">
      <x:c r="A1" s="3" t="str">
        <x:v>MRP WEEKLY  |  SCENARIO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5" customHeight="1">
      <x:c r="A3" s="6" t="str">
        <x:v>Original concrete dataset supplies mixture ingredients; inventory, lead times, order quantities and prices are simulated.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5" ht="31" customHeight="1">
      <x:c r="A5" s="10" t="str">
        <x:v>material_id</x:v>
      </x:c>
      <x:c r="B5" s="10" t="str">
        <x:v>material_name</x:v>
      </x:c>
      <x:c r="C5" s="10" t="str">
        <x:v>week_index</x:v>
      </x:c>
      <x:c r="D5" s="10" t="str">
        <x:v>week_start</x:v>
      </x:c>
      <x:c r="E5" s="10" t="str">
        <x:v>opening_unconstrained_kg</x:v>
      </x:c>
      <x:c r="F5" s="10" t="str">
        <x:v>gross_requirement_kg</x:v>
      </x:c>
      <x:c r="G5" s="10" t="str">
        <x:v>scheduled_receipt_kg</x:v>
      </x:c>
      <x:c r="H5" s="10" t="str">
        <x:v>safety_stock_kg</x:v>
      </x:c>
      <x:c r="I5" s="10" t="str">
        <x:v>net_requirement_kg</x:v>
      </x:c>
      <x:c r="J5" s="10" t="str">
        <x:v>planned_receipt_kg</x:v>
      </x:c>
      <x:c r="K5" s="10" t="str">
        <x:v>planned_release_date</x:v>
      </x:c>
      <x:c r="L5" s="10" t="str">
        <x:v>lead_time_weeks</x:v>
      </x:c>
      <x:c r="M5" s="10" t="str">
        <x:v>late_release_flag</x:v>
      </x:c>
      <x:c r="N5" s="10" t="str">
        <x:v>planned_receipt_feasible_kg</x:v>
      </x:c>
      <x:c r="O5" s="10" t="str">
        <x:v>projected_end_unconstrained_kg</x:v>
      </x:c>
      <x:c r="P5" s="10" t="str">
        <x:v>projected_end_baseline_kg</x:v>
      </x:c>
      <x:c r="Q5" s="10" t="str">
        <x:v>baseline_backlog_kg</x:v>
      </x:c>
      <x:c r="R5" s="10" t="str">
        <x:v>baseline_shortage_flag</x:v>
      </x:c>
      <x:c r="S5" s="10" t="str">
        <x:v>projected_end_lead_feasible_kg</x:v>
      </x:c>
      <x:c r="T5" s="10" t="str">
        <x:v>feasible_backlog_kg</x:v>
      </x:c>
      <x:c r="U5" s="10" t="str">
        <x:v>feasible_shortage_flag</x:v>
      </x:c>
      <x:c r="V5" s="10" t="str">
        <x:v>unit_cost_usd_per_kg</x:v>
      </x:c>
      <x:c r="W5" s="10" t="str">
        <x:v>planned_purchase_value_usd</x:v>
      </x:c>
      <x:c r="X5" s="10" t="str">
        <x:v>scenario</x:v>
      </x:c>
      <x:c r="Y5" s="21" t="str">
        <x:v>MRP_BALANCE_CHECK_KG</x:v>
      </x:c>
    </x:row>
    <x:row r="6" ht="19" customHeight="1">
      <x:c r="A6" s="14" t="str">
        <x:v>cement</x:v>
      </x:c>
      <x:c r="B6" s="14" t="str">
        <x:v>Portland cement</x:v>
      </x:c>
      <x:c r="C6" s="14" t="n">
        <x:v>0</x:v>
      </x:c>
      <x:c r="D6" s="14" t="str">
        <x:v>2026-11-02</x:v>
      </x:c>
      <x:c r="E6" s="16" t="n">
        <x:v>67934.44</x:v>
      </x:c>
      <x:c r="F6" s="16" t="n">
        <x:v>60329.41</x:v>
      </x:c>
      <x:c r="G6" s="16" t="n">
        <x:v>0</x:v>
      </x:c>
      <x:c r="H6" s="16" t="n">
        <x:v>20675.7</x:v>
      </x:c>
      <x:c r="I6" s="16" t="n">
        <x:v>13070.67</x:v>
      </x:c>
      <x:c r="J6" s="16" t="n">
        <x:v>16000</x:v>
      </x:c>
      <x:c r="K6" s="14" t="str">
        <x:v>2026-10-19</x:v>
      </x:c>
      <x:c r="L6" s="14" t="n">
        <x:v>2</x:v>
      </x:c>
      <x:c r="M6" s="14" t="n">
        <x:v>1</x:v>
      </x:c>
      <x:c r="N6" s="16" t="n">
        <x:v>0</x:v>
      </x:c>
      <x:c r="O6" s="16" t="n">
        <x:v>23605.03</x:v>
      </x:c>
      <x:c r="P6" s="16" t="n">
        <x:v>7605.03</x:v>
      </x:c>
      <x:c r="Q6" s="16" t="n">
        <x:v>0</x:v>
      </x:c>
      <x:c r="R6" s="14" t="n">
        <x:v>0</x:v>
      </x:c>
      <x:c r="S6" s="16" t="n">
        <x:v>7605.03</x:v>
      </x:c>
      <x:c r="T6" s="16" t="n">
        <x:v>0</x:v>
      </x:c>
      <x:c r="U6" s="14" t="n">
        <x:v>0</x:v>
      </x:c>
      <x:c r="V6" s="18" t="n">
        <x:v>0.16</x:v>
      </x:c>
      <x:c r="W6" s="18" t="n">
        <x:v>2560</x:v>
      </x:c>
      <x:c r="X6" s="14" t="str">
        <x:v>Simulated / illustrative</x:v>
      </x:c>
      <x:c r="Y6" t="n">
        <x:f>ROUND(E6+G6+J6-F6-O6,2)</x:f>
        <x:v>0</x:v>
      </x:c>
    </x:row>
    <x:row r="7" ht="19" customHeight="1">
      <x:c r="A7" s="14" t="str">
        <x:v>cement</x:v>
      </x:c>
      <x:c r="B7" s="14" t="str">
        <x:v>Portland cement</x:v>
      </x:c>
      <x:c r="C7" s="14" t="n">
        <x:v>1</x:v>
      </x:c>
      <x:c r="D7" s="14" t="str">
        <x:v>2026-11-09</x:v>
      </x:c>
      <x:c r="E7" s="16" t="n">
        <x:v>23605.03</x:v>
      </x:c>
      <x:c r="F7" s="16" t="n">
        <x:v>63814.47</x:v>
      </x:c>
      <x:c r="G7" s="16" t="n">
        <x:v>36625.52</x:v>
      </x:c>
      <x:c r="H7" s="16" t="n">
        <x:v>20675.7</x:v>
      </x:c>
      <x:c r="I7" s="16" t="n">
        <x:v>24259.62</x:v>
      </x:c>
      <x:c r="J7" s="16" t="n">
        <x:v>28000</x:v>
      </x:c>
      <x:c r="K7" s="14" t="str">
        <x:v>2026-10-26</x:v>
      </x:c>
      <x:c r="L7" s="14" t="n">
        <x:v>2</x:v>
      </x:c>
      <x:c r="M7" s="14" t="n">
        <x:v>0</x:v>
      </x:c>
      <x:c r="N7" s="16" t="n">
        <x:v>44000</x:v>
      </x:c>
      <x:c r="O7" s="16" t="n">
        <x:v>24416.08</x:v>
      </x:c>
      <x:c r="P7" s="16" t="n">
        <x:v>-19583.92</x:v>
      </x:c>
      <x:c r="Q7" s="16" t="n">
        <x:v>19583.92</x:v>
      </x:c>
      <x:c r="R7" s="14" t="n">
        <x:v>1</x:v>
      </x:c>
      <x:c r="S7" s="16" t="n">
        <x:v>24416.08</x:v>
      </x:c>
      <x:c r="T7" s="16" t="n">
        <x:v>0</x:v>
      </x:c>
      <x:c r="U7" s="14" t="n">
        <x:v>0</x:v>
      </x:c>
      <x:c r="V7" s="18" t="n">
        <x:v>0.16</x:v>
      </x:c>
      <x:c r="W7" s="18" t="n">
        <x:v>4480</x:v>
      </x:c>
      <x:c r="X7" s="14" t="str">
        <x:v>Simulated / illustrative</x:v>
      </x:c>
      <x:c r="Y7" t="n">
        <x:f>ROUND(E7+G7+J7-F7-O7,2)</x:f>
        <x:v>0</x:v>
      </x:c>
    </x:row>
    <x:row r="8" ht="19" customHeight="1">
      <x:c r="A8" s="14" t="str">
        <x:v>cement</x:v>
      </x:c>
      <x:c r="B8" s="14" t="str">
        <x:v>Portland cement</x:v>
      </x:c>
      <x:c r="C8" s="14" t="n">
        <x:v>2</x:v>
      </x:c>
      <x:c r="D8" s="14" t="str">
        <x:v>2026-11-16</x:v>
      </x:c>
      <x:c r="E8" s="16" t="n">
        <x:v>24416.08</x:v>
      </x:c>
      <x:c r="F8" s="16" t="n">
        <x:v>59298.93</x:v>
      </x:c>
      <x:c r="G8" s="16" t="n">
        <x:v>0</x:v>
      </x:c>
      <x:c r="H8" s="16" t="n">
        <x:v>20675.7</x:v>
      </x:c>
      <x:c r="I8" s="16" t="n">
        <x:v>55558.55</x:v>
      </x:c>
      <x:c r="J8" s="16" t="n">
        <x:v>56000</x:v>
      </x:c>
      <x:c r="K8" s="14" t="str">
        <x:v>2026-11-02</x:v>
      </x:c>
      <x:c r="L8" s="14" t="n">
        <x:v>2</x:v>
      </x:c>
      <x:c r="M8" s="14" t="n">
        <x:v>0</x:v>
      </x:c>
      <x:c r="N8" s="16" t="n">
        <x:v>56000</x:v>
      </x:c>
      <x:c r="O8" s="16" t="n">
        <x:v>21117.15</x:v>
      </x:c>
      <x:c r="P8" s="16" t="n">
        <x:v>-78882.85</x:v>
      </x:c>
      <x:c r="Q8" s="16" t="n">
        <x:v>78882.85</x:v>
      </x:c>
      <x:c r="R8" s="14" t="n">
        <x:v>1</x:v>
      </x:c>
      <x:c r="S8" s="16" t="n">
        <x:v>21117.15</x:v>
      </x:c>
      <x:c r="T8" s="16" t="n">
        <x:v>0</x:v>
      </x:c>
      <x:c r="U8" s="14" t="n">
        <x:v>0</x:v>
      </x:c>
      <x:c r="V8" s="18" t="n">
        <x:v>0.16</x:v>
      </x:c>
      <x:c r="W8" s="18" t="n">
        <x:v>8960</x:v>
      </x:c>
      <x:c r="X8" s="14" t="str">
        <x:v>Simulated / illustrative</x:v>
      </x:c>
      <x:c r="Y8" t="n">
        <x:f>ROUND(E8+G8+J8-F8-O8,2)</x:f>
        <x:v>0</x:v>
      </x:c>
    </x:row>
    <x:row r="9" ht="19" customHeight="1">
      <x:c r="A9" s="14" t="str">
        <x:v>cement</x:v>
      </x:c>
      <x:c r="B9" s="14" t="str">
        <x:v>Portland cement</x:v>
      </x:c>
      <x:c r="C9" s="14" t="n">
        <x:v>3</x:v>
      </x:c>
      <x:c r="D9" s="14" t="str">
        <x:v>2026-11-23</x:v>
      </x:c>
      <x:c r="E9" s="16" t="n">
        <x:v>21117.15</x:v>
      </x:c>
      <x:c r="F9" s="16" t="n">
        <x:v>63998.76</x:v>
      </x:c>
      <x:c r="G9" s="16" t="n">
        <x:v>0</x:v>
      </x:c>
      <x:c r="H9" s="16" t="n">
        <x:v>20675.7</x:v>
      </x:c>
      <x:c r="I9" s="16" t="n">
        <x:v>63557.31</x:v>
      </x:c>
      <x:c r="J9" s="16" t="n">
        <x:v>64000</x:v>
      </x:c>
      <x:c r="K9" s="14" t="str">
        <x:v>2026-11-09</x:v>
      </x:c>
      <x:c r="L9" s="14" t="n">
        <x:v>2</x:v>
      </x:c>
      <x:c r="M9" s="14" t="n">
        <x:v>0</x:v>
      </x:c>
      <x:c r="N9" s="16" t="n">
        <x:v>64000</x:v>
      </x:c>
      <x:c r="O9" s="16" t="n">
        <x:v>21118.39</x:v>
      </x:c>
      <x:c r="P9" s="16" t="n">
        <x:v>-142881.61</x:v>
      </x:c>
      <x:c r="Q9" s="16" t="n">
        <x:v>142881.61</x:v>
      </x:c>
      <x:c r="R9" s="14" t="n">
        <x:v>1</x:v>
      </x:c>
      <x:c r="S9" s="16" t="n">
        <x:v>21118.39</x:v>
      </x:c>
      <x:c r="T9" s="16" t="n">
        <x:v>0</x:v>
      </x:c>
      <x:c r="U9" s="14" t="n">
        <x:v>0</x:v>
      </x:c>
      <x:c r="V9" s="18" t="n">
        <x:v>0.16</x:v>
      </x:c>
      <x:c r="W9" s="18" t="n">
        <x:v>10240</x:v>
      </x:c>
      <x:c r="X9" s="14" t="str">
        <x:v>Simulated / illustrative</x:v>
      </x:c>
      <x:c r="Y9" t="n">
        <x:f>ROUND(E9+G9+J9-F9-O9,2)</x:f>
        <x:v>0</x:v>
      </x:c>
    </x:row>
    <x:row r="10" ht="19" customHeight="1">
      <x:c r="A10" s="14" t="str">
        <x:v>cement</x:v>
      </x:c>
      <x:c r="B10" s="14" t="str">
        <x:v>Portland cement</x:v>
      </x:c>
      <x:c r="C10" s="14" t="n">
        <x:v>4</x:v>
      </x:c>
      <x:c r="D10" s="14" t="str">
        <x:v>2026-11-30</x:v>
      </x:c>
      <x:c r="E10" s="16" t="n">
        <x:v>21118.39</x:v>
      </x:c>
      <x:c r="F10" s="16" t="n">
        <x:v>66559.65</x:v>
      </x:c>
      <x:c r="G10" s="16" t="n">
        <x:v>0</x:v>
      </x:c>
      <x:c r="H10" s="16" t="n">
        <x:v>20675.7</x:v>
      </x:c>
      <x:c r="I10" s="16" t="n">
        <x:v>66116.96</x:v>
      </x:c>
      <x:c r="J10" s="16" t="n">
        <x:v>68000</x:v>
      </x:c>
      <x:c r="K10" s="14" t="str">
        <x:v>2026-11-16</x:v>
      </x:c>
      <x:c r="L10" s="14" t="n">
        <x:v>2</x:v>
      </x:c>
      <x:c r="M10" s="14" t="n">
        <x:v>0</x:v>
      </x:c>
      <x:c r="N10" s="16" t="n">
        <x:v>68000</x:v>
      </x:c>
      <x:c r="O10" s="16" t="n">
        <x:v>22558.74</x:v>
      </x:c>
      <x:c r="P10" s="16" t="n">
        <x:v>-209441.26</x:v>
      </x:c>
      <x:c r="Q10" s="16" t="n">
        <x:v>209441.26</x:v>
      </x:c>
      <x:c r="R10" s="14" t="n">
        <x:v>1</x:v>
      </x:c>
      <x:c r="S10" s="16" t="n">
        <x:v>22558.74</x:v>
      </x:c>
      <x:c r="T10" s="16" t="n">
        <x:v>0</x:v>
      </x:c>
      <x:c r="U10" s="14" t="n">
        <x:v>0</x:v>
      </x:c>
      <x:c r="V10" s="18" t="n">
        <x:v>0.16</x:v>
      </x:c>
      <x:c r="W10" s="18" t="n">
        <x:v>10880</x:v>
      </x:c>
      <x:c r="X10" s="14" t="str">
        <x:v>Simulated / illustrative</x:v>
      </x:c>
      <x:c r="Y10" t="n">
        <x:f>ROUND(E10+G10+J10-F10-O10,2)</x:f>
        <x:v>0</x:v>
      </x:c>
    </x:row>
    <x:row r="11" ht="19" customHeight="1">
      <x:c r="A11" s="14" t="str">
        <x:v>cement</x:v>
      </x:c>
      <x:c r="B11" s="14" t="str">
        <x:v>Portland cement</x:v>
      </x:c>
      <x:c r="C11" s="14" t="n">
        <x:v>5</x:v>
      </x:c>
      <x:c r="D11" s="14" t="str">
        <x:v>2026-12-07</x:v>
      </x:c>
      <x:c r="E11" s="16" t="n">
        <x:v>22558.74</x:v>
      </x:c>
      <x:c r="F11" s="16" t="n">
        <x:v>61668.23</x:v>
      </x:c>
      <x:c r="G11" s="16" t="n">
        <x:v>0</x:v>
      </x:c>
      <x:c r="H11" s="16" t="n">
        <x:v>20675.7</x:v>
      </x:c>
      <x:c r="I11" s="16" t="n">
        <x:v>59785.19</x:v>
      </x:c>
      <x:c r="J11" s="16" t="n">
        <x:v>60000</x:v>
      </x:c>
      <x:c r="K11" s="14" t="str">
        <x:v>2026-11-23</x:v>
      </x:c>
      <x:c r="L11" s="14" t="n">
        <x:v>2</x:v>
      </x:c>
      <x:c r="M11" s="14" t="n">
        <x:v>0</x:v>
      </x:c>
      <x:c r="N11" s="16" t="n">
        <x:v>60000</x:v>
      </x:c>
      <x:c r="O11" s="16" t="n">
        <x:v>20890.51</x:v>
      </x:c>
      <x:c r="P11" s="16" t="n">
        <x:v>-271109.49</x:v>
      </x:c>
      <x:c r="Q11" s="16" t="n">
        <x:v>271109.49</x:v>
      </x:c>
      <x:c r="R11" s="14" t="n">
        <x:v>1</x:v>
      </x:c>
      <x:c r="S11" s="16" t="n">
        <x:v>20890.51</x:v>
      </x:c>
      <x:c r="T11" s="16" t="n">
        <x:v>0</x:v>
      </x:c>
      <x:c r="U11" s="14" t="n">
        <x:v>0</x:v>
      </x:c>
      <x:c r="V11" s="18" t="n">
        <x:v>0.16</x:v>
      </x:c>
      <x:c r="W11" s="18" t="n">
        <x:v>9600</x:v>
      </x:c>
      <x:c r="X11" s="14" t="str">
        <x:v>Simulated / illustrative</x:v>
      </x:c>
      <x:c r="Y11" t="n">
        <x:f>ROUND(E11+G11+J11-F11-O11,2)</x:f>
        <x:v>0</x:v>
      </x:c>
    </x:row>
    <x:row r="12" ht="19" customHeight="1">
      <x:c r="A12" s="14" t="str">
        <x:v>cement</x:v>
      </x:c>
      <x:c r="B12" s="14" t="str">
        <x:v>Portland cement</x:v>
      </x:c>
      <x:c r="C12" s="14" t="n">
        <x:v>6</x:v>
      </x:c>
      <x:c r="D12" s="14" t="str">
        <x:v>2026-12-14</x:v>
      </x:c>
      <x:c r="E12" s="16" t="n">
        <x:v>20890.51</x:v>
      </x:c>
      <x:c r="F12" s="16" t="n">
        <x:v>58619.39</x:v>
      </x:c>
      <x:c r="G12" s="16" t="n">
        <x:v>0</x:v>
      </x:c>
      <x:c r="H12" s="16" t="n">
        <x:v>20675.7</x:v>
      </x:c>
      <x:c r="I12" s="16" t="n">
        <x:v>58404.58</x:v>
      </x:c>
      <x:c r="J12" s="16" t="n">
        <x:v>60000</x:v>
      </x:c>
      <x:c r="K12" s="14" t="str">
        <x:v>2026-11-30</x:v>
      </x:c>
      <x:c r="L12" s="14" t="n">
        <x:v>2</x:v>
      </x:c>
      <x:c r="M12" s="14" t="n">
        <x:v>0</x:v>
      </x:c>
      <x:c r="N12" s="16" t="n">
        <x:v>60000</x:v>
      </x:c>
      <x:c r="O12" s="16" t="n">
        <x:v>22271.12</x:v>
      </x:c>
      <x:c r="P12" s="16" t="n">
        <x:v>-329728.88</x:v>
      </x:c>
      <x:c r="Q12" s="16" t="n">
        <x:v>329728.88</x:v>
      </x:c>
      <x:c r="R12" s="14" t="n">
        <x:v>1</x:v>
      </x:c>
      <x:c r="S12" s="16" t="n">
        <x:v>22271.12</x:v>
      </x:c>
      <x:c r="T12" s="16" t="n">
        <x:v>0</x:v>
      </x:c>
      <x:c r="U12" s="14" t="n">
        <x:v>0</x:v>
      </x:c>
      <x:c r="V12" s="18" t="n">
        <x:v>0.16</x:v>
      </x:c>
      <x:c r="W12" s="18" t="n">
        <x:v>9600</x:v>
      </x:c>
      <x:c r="X12" s="14" t="str">
        <x:v>Simulated / illustrative</x:v>
      </x:c>
      <x:c r="Y12" t="n">
        <x:f>ROUND(E12+G12+J12-F12-O12,2)</x:f>
        <x:v>0</x:v>
      </x:c>
    </x:row>
    <x:row r="13" ht="19" customHeight="1">
      <x:c r="A13" s="14" t="str">
        <x:v>cement</x:v>
      </x:c>
      <x:c r="B13" s="14" t="str">
        <x:v>Portland cement</x:v>
      </x:c>
      <x:c r="C13" s="14" t="n">
        <x:v>7</x:v>
      </x:c>
      <x:c r="D13" s="14" t="str">
        <x:v>2026-12-21</x:v>
      </x:c>
      <x:c r="E13" s="16" t="n">
        <x:v>22271.12</x:v>
      </x:c>
      <x:c r="F13" s="16" t="n">
        <x:v>55988.95</x:v>
      </x:c>
      <x:c r="G13" s="16" t="n">
        <x:v>0</x:v>
      </x:c>
      <x:c r="H13" s="16" t="n">
        <x:v>20675.7</x:v>
      </x:c>
      <x:c r="I13" s="16" t="n">
        <x:v>54393.53</x:v>
      </x:c>
      <x:c r="J13" s="16" t="n">
        <x:v>56000</x:v>
      </x:c>
      <x:c r="K13" s="14" t="str">
        <x:v>2026-12-07</x:v>
      </x:c>
      <x:c r="L13" s="14" t="n">
        <x:v>2</x:v>
      </x:c>
      <x:c r="M13" s="14" t="n">
        <x:v>0</x:v>
      </x:c>
      <x:c r="N13" s="16" t="n">
        <x:v>56000</x:v>
      </x:c>
      <x:c r="O13" s="16" t="n">
        <x:v>22282.17</x:v>
      </x:c>
      <x:c r="P13" s="16" t="n">
        <x:v>-385717.83</x:v>
      </x:c>
      <x:c r="Q13" s="16" t="n">
        <x:v>385717.83</x:v>
      </x:c>
      <x:c r="R13" s="14" t="n">
        <x:v>1</x:v>
      </x:c>
      <x:c r="S13" s="16" t="n">
        <x:v>22282.17</x:v>
      </x:c>
      <x:c r="T13" s="16" t="n">
        <x:v>0</x:v>
      </x:c>
      <x:c r="U13" s="14" t="n">
        <x:v>0</x:v>
      </x:c>
      <x:c r="V13" s="18" t="n">
        <x:v>0.16</x:v>
      </x:c>
      <x:c r="W13" s="18" t="n">
        <x:v>8960</x:v>
      </x:c>
      <x:c r="X13" s="14" t="str">
        <x:v>Simulated / illustrative</x:v>
      </x:c>
      <x:c r="Y13" t="n">
        <x:f>ROUND(E13+G13+J13-F13-O13,2)</x:f>
        <x:v>0</x:v>
      </x:c>
    </x:row>
    <x:row r="14" ht="19" customHeight="1">
      <x:c r="A14" s="14" t="str">
        <x:v>cement</x:v>
      </x:c>
      <x:c r="B14" s="14" t="str">
        <x:v>Portland cement</x:v>
      </x:c>
      <x:c r="C14" s="14" t="n">
        <x:v>8</x:v>
      </x:c>
      <x:c r="D14" s="14" t="str">
        <x:v>2026-12-28</x:v>
      </x:c>
      <x:c r="E14" s="16" t="n">
        <x:v>22282.17</x:v>
      </x:c>
      <x:c r="F14" s="16" t="n">
        <x:v>54302.62</x:v>
      </x:c>
      <x:c r="G14" s="16" t="n">
        <x:v>0</x:v>
      </x:c>
      <x:c r="H14" s="16" t="n">
        <x:v>20675.7</x:v>
      </x:c>
      <x:c r="I14" s="16" t="n">
        <x:v>52696.15</x:v>
      </x:c>
      <x:c r="J14" s="16" t="n">
        <x:v>56000</x:v>
      </x:c>
      <x:c r="K14" s="14" t="str">
        <x:v>2026-12-14</x:v>
      </x:c>
      <x:c r="L14" s="14" t="n">
        <x:v>2</x:v>
      </x:c>
      <x:c r="M14" s="14" t="n">
        <x:v>0</x:v>
      </x:c>
      <x:c r="N14" s="16" t="n">
        <x:v>56000</x:v>
      </x:c>
      <x:c r="O14" s="16" t="n">
        <x:v>23979.55</x:v>
      </x:c>
      <x:c r="P14" s="16" t="n">
        <x:v>-440020.45</x:v>
      </x:c>
      <x:c r="Q14" s="16" t="n">
        <x:v>440020.45</x:v>
      </x:c>
      <x:c r="R14" s="14" t="n">
        <x:v>1</x:v>
      </x:c>
      <x:c r="S14" s="16" t="n">
        <x:v>23979.55</x:v>
      </x:c>
      <x:c r="T14" s="16" t="n">
        <x:v>0</x:v>
      </x:c>
      <x:c r="U14" s="14" t="n">
        <x:v>0</x:v>
      </x:c>
      <x:c r="V14" s="18" t="n">
        <x:v>0.16</x:v>
      </x:c>
      <x:c r="W14" s="18" t="n">
        <x:v>8960</x:v>
      </x:c>
      <x:c r="X14" s="14" t="str">
        <x:v>Simulated / illustrative</x:v>
      </x:c>
      <x:c r="Y14" t="n">
        <x:f>ROUND(E14+G14+J14-F14-O14,2)</x:f>
        <x:v>0</x:v>
      </x:c>
    </x:row>
    <x:row r="15" ht="19" customHeight="1">
      <x:c r="A15" s="14" t="str">
        <x:v>cement</x:v>
      </x:c>
      <x:c r="B15" s="14" t="str">
        <x:v>Portland cement</x:v>
      </x:c>
      <x:c r="C15" s="14" t="n">
        <x:v>9</x:v>
      </x:c>
      <x:c r="D15" s="14" t="str">
        <x:v>2027-01-04</x:v>
      </x:c>
      <x:c r="E15" s="16" t="n">
        <x:v>23979.55</x:v>
      </x:c>
      <x:c r="F15" s="16" t="n">
        <x:v>52841.23</x:v>
      </x:c>
      <x:c r="G15" s="16" t="n">
        <x:v>0</x:v>
      </x:c>
      <x:c r="H15" s="16" t="n">
        <x:v>20675.7</x:v>
      </x:c>
      <x:c r="I15" s="16" t="n">
        <x:v>49537.38</x:v>
      </x:c>
      <x:c r="J15" s="16" t="n">
        <x:v>52000</x:v>
      </x:c>
      <x:c r="K15" s="14" t="str">
        <x:v>2026-12-21</x:v>
      </x:c>
      <x:c r="L15" s="14" t="n">
        <x:v>2</x:v>
      </x:c>
      <x:c r="M15" s="14" t="n">
        <x:v>0</x:v>
      </x:c>
      <x:c r="N15" s="16" t="n">
        <x:v>52000</x:v>
      </x:c>
      <x:c r="O15" s="16" t="n">
        <x:v>23138.32</x:v>
      </x:c>
      <x:c r="P15" s="16" t="n">
        <x:v>-492861.68</x:v>
      </x:c>
      <x:c r="Q15" s="16" t="n">
        <x:v>492861.68</x:v>
      </x:c>
      <x:c r="R15" s="14" t="n">
        <x:v>1</x:v>
      </x:c>
      <x:c r="S15" s="16" t="n">
        <x:v>23138.32</x:v>
      </x:c>
      <x:c r="T15" s="16" t="n">
        <x:v>0</x:v>
      </x:c>
      <x:c r="U15" s="14" t="n">
        <x:v>0</x:v>
      </x:c>
      <x:c r="V15" s="18" t="n">
        <x:v>0.16</x:v>
      </x:c>
      <x:c r="W15" s="18" t="n">
        <x:v>8320</x:v>
      </x:c>
      <x:c r="X15" s="14" t="str">
        <x:v>Simulated / illustrative</x:v>
      </x:c>
      <x:c r="Y15" t="n">
        <x:f>ROUND(E15+G15+J15-F15-O15,2)</x:f>
        <x:v>0</x:v>
      </x:c>
    </x:row>
    <x:row r="16" ht="19" customHeight="1">
      <x:c r="A16" s="14" t="str">
        <x:v>cement</x:v>
      </x:c>
      <x:c r="B16" s="14" t="str">
        <x:v>Portland cement</x:v>
      </x:c>
      <x:c r="C16" s="14" t="n">
        <x:v>10</x:v>
      </x:c>
      <x:c r="D16" s="14" t="str">
        <x:v>2027-01-11</x:v>
      </x:c>
      <x:c r="E16" s="16" t="n">
        <x:v>23138.32</x:v>
      </x:c>
      <x:c r="F16" s="16" t="n">
        <x:v>57452.29</x:v>
      </x:c>
      <x:c r="G16" s="16" t="n">
        <x:v>0</x:v>
      </x:c>
      <x:c r="H16" s="16" t="n">
        <x:v>20675.7</x:v>
      </x:c>
      <x:c r="I16" s="16" t="n">
        <x:v>54989.67</x:v>
      </x:c>
      <x:c r="J16" s="16" t="n">
        <x:v>56000</x:v>
      </x:c>
      <x:c r="K16" s="14" t="str">
        <x:v>2026-12-28</x:v>
      </x:c>
      <x:c r="L16" s="14" t="n">
        <x:v>2</x:v>
      </x:c>
      <x:c r="M16" s="14" t="n">
        <x:v>0</x:v>
      </x:c>
      <x:c r="N16" s="16" t="n">
        <x:v>56000</x:v>
      </x:c>
      <x:c r="O16" s="16" t="n">
        <x:v>21686.03</x:v>
      </x:c>
      <x:c r="P16" s="16" t="n">
        <x:v>-550313.97</x:v>
      </x:c>
      <x:c r="Q16" s="16" t="n">
        <x:v>550313.97</x:v>
      </x:c>
      <x:c r="R16" s="14" t="n">
        <x:v>1</x:v>
      </x:c>
      <x:c r="S16" s="16" t="n">
        <x:v>21686.03</x:v>
      </x:c>
      <x:c r="T16" s="16" t="n">
        <x:v>0</x:v>
      </x:c>
      <x:c r="U16" s="14" t="n">
        <x:v>0</x:v>
      </x:c>
      <x:c r="V16" s="18" t="n">
        <x:v>0.16</x:v>
      </x:c>
      <x:c r="W16" s="18" t="n">
        <x:v>8960</x:v>
      </x:c>
      <x:c r="X16" s="14" t="str">
        <x:v>Simulated / illustrative</x:v>
      </x:c>
      <x:c r="Y16" t="n">
        <x:f>ROUND(E16+G16+J16-F16-O16,2)</x:f>
        <x:v>0</x:v>
      </x:c>
    </x:row>
    <x:row r="17" ht="19" customHeight="1">
      <x:c r="A17" s="14" t="str">
        <x:v>cement</x:v>
      </x:c>
      <x:c r="B17" s="14" t="str">
        <x:v>Portland cement</x:v>
      </x:c>
      <x:c r="C17" s="14" t="n">
        <x:v>11</x:v>
      </x:c>
      <x:c r="D17" s="14" t="str">
        <x:v>2027-01-18</x:v>
      </x:c>
      <x:c r="E17" s="16" t="n">
        <x:v>21686.03</x:v>
      </x:c>
      <x:c r="F17" s="16" t="n">
        <x:v>54007.14</x:v>
      </x:c>
      <x:c r="G17" s="16" t="n">
        <x:v>0</x:v>
      </x:c>
      <x:c r="H17" s="16" t="n">
        <x:v>20675.7</x:v>
      </x:c>
      <x:c r="I17" s="16" t="n">
        <x:v>52996.81</x:v>
      </x:c>
      <x:c r="J17" s="16" t="n">
        <x:v>56000</x:v>
      </x:c>
      <x:c r="K17" s="14" t="str">
        <x:v>2027-01-04</x:v>
      </x:c>
      <x:c r="L17" s="14" t="n">
        <x:v>2</x:v>
      </x:c>
      <x:c r="M17" s="14" t="n">
        <x:v>0</x:v>
      </x:c>
      <x:c r="N17" s="16" t="n">
        <x:v>56000</x:v>
      </x:c>
      <x:c r="O17" s="16" t="n">
        <x:v>23678.89</x:v>
      </x:c>
      <x:c r="P17" s="16" t="n">
        <x:v>-604321.11</x:v>
      </x:c>
      <x:c r="Q17" s="16" t="n">
        <x:v>604321.11</x:v>
      </x:c>
      <x:c r="R17" s="14" t="n">
        <x:v>1</x:v>
      </x:c>
      <x:c r="S17" s="16" t="n">
        <x:v>23678.89</x:v>
      </x:c>
      <x:c r="T17" s="16" t="n">
        <x:v>0</x:v>
      </x:c>
      <x:c r="U17" s="14" t="n">
        <x:v>0</x:v>
      </x:c>
      <x:c r="V17" s="18" t="n">
        <x:v>0.16</x:v>
      </x:c>
      <x:c r="W17" s="18" t="n">
        <x:v>8960</x:v>
      </x:c>
      <x:c r="X17" s="14" t="str">
        <x:v>Simulated / illustrative</x:v>
      </x:c>
      <x:c r="Y17" t="n">
        <x:f>ROUND(E17+G17+J17-F17-O17,2)</x:f>
        <x:v>0</x:v>
      </x:c>
    </x:row>
    <x:row r="18" ht="19" customHeight="1">
      <x:c r="A18" s="14" t="str">
        <x:v>slag</x:v>
      </x:c>
      <x:c r="B18" s="14" t="str">
        <x:v>Ground blast furnace slag</x:v>
      </x:c>
      <x:c r="C18" s="14" t="n">
        <x:v>0</x:v>
      </x:c>
      <x:c r="D18" s="14" t="str">
        <x:v>2026-11-02</x:v>
      </x:c>
      <x:c r="E18" s="16" t="n">
        <x:v>28017.5</x:v>
      </x:c>
      <x:c r="F18" s="16" t="n">
        <x:v>40067.74</x:v>
      </x:c>
      <x:c r="G18" s="16" t="n">
        <x:v>0</x:v>
      </x:c>
      <x:c r="H18" s="16" t="n">
        <x:v>13619.62</x:v>
      </x:c>
      <x:c r="I18" s="16" t="n">
        <x:v>25669.86</x:v>
      </x:c>
      <x:c r="J18" s="16" t="n">
        <x:v>26000</x:v>
      </x:c>
      <x:c r="K18" s="14" t="str">
        <x:v>2026-10-12</x:v>
      </x:c>
      <x:c r="L18" s="14" t="n">
        <x:v>3</x:v>
      </x:c>
      <x:c r="M18" s="14" t="n">
        <x:v>1</x:v>
      </x:c>
      <x:c r="N18" s="16" t="n">
        <x:v>0</x:v>
      </x:c>
      <x:c r="O18" s="16" t="n">
        <x:v>13949.76</x:v>
      </x:c>
      <x:c r="P18" s="16" t="n">
        <x:v>-12050.24</x:v>
      </x:c>
      <x:c r="Q18" s="16" t="n">
        <x:v>12050.24</x:v>
      </x:c>
      <x:c r="R18" s="14" t="n">
        <x:v>1</x:v>
      </x:c>
      <x:c r="S18" s="16" t="n">
        <x:v>-12050.24</x:v>
      </x:c>
      <x:c r="T18" s="16" t="n">
        <x:v>12050.24</x:v>
      </x:c>
      <x:c r="U18" s="14" t="n">
        <x:v>1</x:v>
      </x:c>
      <x:c r="V18" s="18" t="n">
        <x:v>0.092</x:v>
      </x:c>
      <x:c r="W18" s="18" t="n">
        <x:v>2392</x:v>
      </x:c>
      <x:c r="X18" s="14" t="str">
        <x:v>Simulated / illustrative</x:v>
      </x:c>
      <x:c r="Y18" t="n">
        <x:f>ROUND(E18+G18+J18-F18-O18,2)</x:f>
        <x:v>0</x:v>
      </x:c>
    </x:row>
    <x:row r="19" ht="19" customHeight="1">
      <x:c r="A19" s="14" t="str">
        <x:v>slag</x:v>
      </x:c>
      <x:c r="B19" s="14" t="str">
        <x:v>Ground blast furnace slag</x:v>
      </x:c>
      <x:c r="C19" s="14" t="n">
        <x:v>1</x:v>
      </x:c>
      <x:c r="D19" s="14" t="str">
        <x:v>2026-11-09</x:v>
      </x:c>
      <x:c r="E19" s="16" t="n">
        <x:v>13949.76</x:v>
      </x:c>
      <x:c r="F19" s="16" t="n">
        <x:v>41298.78</x:v>
      </x:c>
      <x:c r="G19" s="16" t="n">
        <x:v>0</x:v>
      </x:c>
      <x:c r="H19" s="16" t="n">
        <x:v>13619.62</x:v>
      </x:c>
      <x:c r="I19" s="16" t="n">
        <x:v>40968.64</x:v>
      </x:c>
      <x:c r="J19" s="16" t="n">
        <x:v>42000</x:v>
      </x:c>
      <x:c r="K19" s="14" t="str">
        <x:v>2026-10-19</x:v>
      </x:c>
      <x:c r="L19" s="14" t="n">
        <x:v>3</x:v>
      </x:c>
      <x:c r="M19" s="14" t="n">
        <x:v>1</x:v>
      </x:c>
      <x:c r="N19" s="16" t="n">
        <x:v>0</x:v>
      </x:c>
      <x:c r="O19" s="16" t="n">
        <x:v>14650.98</x:v>
      </x:c>
      <x:c r="P19" s="16" t="n">
        <x:v>-53349.02</x:v>
      </x:c>
      <x:c r="Q19" s="16" t="n">
        <x:v>53349.02</x:v>
      </x:c>
      <x:c r="R19" s="14" t="n">
        <x:v>1</x:v>
      </x:c>
      <x:c r="S19" s="16" t="n">
        <x:v>-53349.02</x:v>
      </x:c>
      <x:c r="T19" s="16" t="n">
        <x:v>53349.02</x:v>
      </x:c>
      <x:c r="U19" s="14" t="n">
        <x:v>1</x:v>
      </x:c>
      <x:c r="V19" s="18" t="n">
        <x:v>0.092</x:v>
      </x:c>
      <x:c r="W19" s="18" t="n">
        <x:v>3864</x:v>
      </x:c>
      <x:c r="X19" s="14" t="str">
        <x:v>Simulated / illustrative</x:v>
      </x:c>
      <x:c r="Y19" t="n">
        <x:f>ROUND(E19+G19+J19-F19-O19,2)</x:f>
        <x:v>0</x:v>
      </x:c>
    </x:row>
    <x:row r="20" ht="19" customHeight="1">
      <x:c r="A20" s="14" t="str">
        <x:v>slag</x:v>
      </x:c>
      <x:c r="B20" s="14" t="str">
        <x:v>Ground blast furnace slag</x:v>
      </x:c>
      <x:c r="C20" s="14" t="n">
        <x:v>2</x:v>
      </x:c>
      <x:c r="D20" s="14" t="str">
        <x:v>2026-11-16</x:v>
      </x:c>
      <x:c r="E20" s="16" t="n">
        <x:v>14650.98</x:v>
      </x:c>
      <x:c r="F20" s="16" t="n">
        <x:v>37149.22</x:v>
      </x:c>
      <x:c r="G20" s="16" t="n">
        <x:v>21013.13</x:v>
      </x:c>
      <x:c r="H20" s="16" t="n">
        <x:v>13619.62</x:v>
      </x:c>
      <x:c r="I20" s="16" t="n">
        <x:v>15104.73</x:v>
      </x:c>
      <x:c r="J20" s="16" t="n">
        <x:v>16000</x:v>
      </x:c>
      <x:c r="K20" s="14" t="str">
        <x:v>2026-10-26</x:v>
      </x:c>
      <x:c r="L20" s="14" t="n">
        <x:v>3</x:v>
      </x:c>
      <x:c r="M20" s="14" t="n">
        <x:v>0</x:v>
      </x:c>
      <x:c r="N20" s="16" t="n">
        <x:v>84000</x:v>
      </x:c>
      <x:c r="O20" s="16" t="n">
        <x:v>14514.89</x:v>
      </x:c>
      <x:c r="P20" s="16" t="n">
        <x:v>-69485.11</x:v>
      </x:c>
      <x:c r="Q20" s="16" t="n">
        <x:v>69485.11</x:v>
      </x:c>
      <x:c r="R20" s="14" t="n">
        <x:v>1</x:v>
      </x:c>
      <x:c r="S20" s="16" t="n">
        <x:v>14514.89</x:v>
      </x:c>
      <x:c r="T20" s="16" t="n">
        <x:v>0</x:v>
      </x:c>
      <x:c r="U20" s="14" t="n">
        <x:v>0</x:v>
      </x:c>
      <x:c r="V20" s="18" t="n">
        <x:v>0.092</x:v>
      </x:c>
      <x:c r="W20" s="18" t="n">
        <x:v>1472</x:v>
      </x:c>
      <x:c r="X20" s="14" t="str">
        <x:v>Simulated / illustrative</x:v>
      </x:c>
      <x:c r="Y20" t="n">
        <x:f>ROUND(E20+G20+J20-F20-O20,2)</x:f>
        <x:v>0</x:v>
      </x:c>
    </x:row>
    <x:row r="21" ht="19" customHeight="1">
      <x:c r="A21" s="14" t="str">
        <x:v>slag</x:v>
      </x:c>
      <x:c r="B21" s="14" t="str">
        <x:v>Ground blast furnace slag</x:v>
      </x:c>
      <x:c r="C21" s="14" t="n">
        <x:v>3</x:v>
      </x:c>
      <x:c r="D21" s="14" t="str">
        <x:v>2026-11-23</x:v>
      </x:c>
      <x:c r="E21" s="16" t="n">
        <x:v>14514.89</x:v>
      </x:c>
      <x:c r="F21" s="16" t="n">
        <x:v>44895.64</x:v>
      </x:c>
      <x:c r="G21" s="16" t="n">
        <x:v>0</x:v>
      </x:c>
      <x:c r="H21" s="16" t="n">
        <x:v>13619.62</x:v>
      </x:c>
      <x:c r="I21" s="16" t="n">
        <x:v>44000.37</x:v>
      </x:c>
      <x:c r="J21" s="16" t="n">
        <x:v>46000</x:v>
      </x:c>
      <x:c r="K21" s="14" t="str">
        <x:v>2026-11-02</x:v>
      </x:c>
      <x:c r="L21" s="14" t="n">
        <x:v>3</x:v>
      </x:c>
      <x:c r="M21" s="14" t="n">
        <x:v>0</x:v>
      </x:c>
      <x:c r="N21" s="16" t="n">
        <x:v>46000</x:v>
      </x:c>
      <x:c r="O21" s="16" t="n">
        <x:v>15619.25</x:v>
      </x:c>
      <x:c r="P21" s="16" t="n">
        <x:v>-114380.75</x:v>
      </x:c>
      <x:c r="Q21" s="16" t="n">
        <x:v>114380.75</x:v>
      </x:c>
      <x:c r="R21" s="14" t="n">
        <x:v>1</x:v>
      </x:c>
      <x:c r="S21" s="16" t="n">
        <x:v>15619.25</x:v>
      </x:c>
      <x:c r="T21" s="16" t="n">
        <x:v>0</x:v>
      </x:c>
      <x:c r="U21" s="14" t="n">
        <x:v>0</x:v>
      </x:c>
      <x:c r="V21" s="18" t="n">
        <x:v>0.092</x:v>
      </x:c>
      <x:c r="W21" s="18" t="n">
        <x:v>4232</x:v>
      </x:c>
      <x:c r="X21" s="14" t="str">
        <x:v>Simulated / illustrative</x:v>
      </x:c>
      <x:c r="Y21" t="n">
        <x:f>ROUND(E21+G21+J21-F21-O21,2)</x:f>
        <x:v>0</x:v>
      </x:c>
    </x:row>
    <x:row r="22" ht="19" customHeight="1">
      <x:c r="A22" s="14" t="str">
        <x:v>slag</x:v>
      </x:c>
      <x:c r="B22" s="14" t="str">
        <x:v>Ground blast furnace slag</x:v>
      </x:c>
      <x:c r="C22" s="14" t="n">
        <x:v>4</x:v>
      </x:c>
      <x:c r="D22" s="14" t="str">
        <x:v>2026-11-30</x:v>
      </x:c>
      <x:c r="E22" s="16" t="n">
        <x:v>15619.25</x:v>
      </x:c>
      <x:c r="F22" s="16" t="n">
        <x:v>43854.3</x:v>
      </x:c>
      <x:c r="G22" s="16" t="n">
        <x:v>0</x:v>
      </x:c>
      <x:c r="H22" s="16" t="n">
        <x:v>13619.62</x:v>
      </x:c>
      <x:c r="I22" s="16" t="n">
        <x:v>41854.67</x:v>
      </x:c>
      <x:c r="J22" s="16" t="n">
        <x:v>42000</x:v>
      </x:c>
      <x:c r="K22" s="14" t="str">
        <x:v>2026-11-09</x:v>
      </x:c>
      <x:c r="L22" s="14" t="n">
        <x:v>3</x:v>
      </x:c>
      <x:c r="M22" s="14" t="n">
        <x:v>0</x:v>
      </x:c>
      <x:c r="N22" s="16" t="n">
        <x:v>42000</x:v>
      </x:c>
      <x:c r="O22" s="16" t="n">
        <x:v>13764.95</x:v>
      </x:c>
      <x:c r="P22" s="16" t="n">
        <x:v>-158235.05</x:v>
      </x:c>
      <x:c r="Q22" s="16" t="n">
        <x:v>158235.05</x:v>
      </x:c>
      <x:c r="R22" s="14" t="n">
        <x:v>1</x:v>
      </x:c>
      <x:c r="S22" s="16" t="n">
        <x:v>13764.95</x:v>
      </x:c>
      <x:c r="T22" s="16" t="n">
        <x:v>0</x:v>
      </x:c>
      <x:c r="U22" s="14" t="n">
        <x:v>0</x:v>
      </x:c>
      <x:c r="V22" s="18" t="n">
        <x:v>0.092</x:v>
      </x:c>
      <x:c r="W22" s="18" t="n">
        <x:v>3864</x:v>
      </x:c>
      <x:c r="X22" s="14" t="str">
        <x:v>Simulated / illustrative</x:v>
      </x:c>
      <x:c r="Y22" t="n">
        <x:f>ROUND(E22+G22+J22-F22-O22,2)</x:f>
        <x:v>0</x:v>
      </x:c>
    </x:row>
    <x:row r="23" ht="19" customHeight="1">
      <x:c r="A23" s="14" t="str">
        <x:v>slag</x:v>
      </x:c>
      <x:c r="B23" s="14" t="str">
        <x:v>Ground blast furnace slag</x:v>
      </x:c>
      <x:c r="C23" s="14" t="n">
        <x:v>5</x:v>
      </x:c>
      <x:c r="D23" s="14" t="str">
        <x:v>2026-12-07</x:v>
      </x:c>
      <x:c r="E23" s="16" t="n">
        <x:v>13764.95</x:v>
      </x:c>
      <x:c r="F23" s="16" t="n">
        <x:v>39233.82</x:v>
      </x:c>
      <x:c r="G23" s="16" t="n">
        <x:v>0</x:v>
      </x:c>
      <x:c r="H23" s="16" t="n">
        <x:v>13619.62</x:v>
      </x:c>
      <x:c r="I23" s="16" t="n">
        <x:v>39088.49</x:v>
      </x:c>
      <x:c r="J23" s="16" t="n">
        <x:v>40000</x:v>
      </x:c>
      <x:c r="K23" s="14" t="str">
        <x:v>2026-11-16</x:v>
      </x:c>
      <x:c r="L23" s="14" t="n">
        <x:v>3</x:v>
      </x:c>
      <x:c r="M23" s="14" t="n">
        <x:v>0</x:v>
      </x:c>
      <x:c r="N23" s="16" t="n">
        <x:v>40000</x:v>
      </x:c>
      <x:c r="O23" s="16" t="n">
        <x:v>14531.13</x:v>
      </x:c>
      <x:c r="P23" s="16" t="n">
        <x:v>-197468.87</x:v>
      </x:c>
      <x:c r="Q23" s="16" t="n">
        <x:v>197468.87</x:v>
      </x:c>
      <x:c r="R23" s="14" t="n">
        <x:v>1</x:v>
      </x:c>
      <x:c r="S23" s="16" t="n">
        <x:v>14531.13</x:v>
      </x:c>
      <x:c r="T23" s="16" t="n">
        <x:v>0</x:v>
      </x:c>
      <x:c r="U23" s="14" t="n">
        <x:v>0</x:v>
      </x:c>
      <x:c r="V23" s="18" t="n">
        <x:v>0.092</x:v>
      </x:c>
      <x:c r="W23" s="18" t="n">
        <x:v>3680</x:v>
      </x:c>
      <x:c r="X23" s="14" t="str">
        <x:v>Simulated / illustrative</x:v>
      </x:c>
      <x:c r="Y23" t="n">
        <x:f>ROUND(E23+G23+J23-F23-O23,2)</x:f>
        <x:v>0</x:v>
      </x:c>
    </x:row>
    <x:row r="24" ht="19" customHeight="1">
      <x:c r="A24" s="14" t="str">
        <x:v>slag</x:v>
      </x:c>
      <x:c r="B24" s="14" t="str">
        <x:v>Ground blast furnace slag</x:v>
      </x:c>
      <x:c r="C24" s="14" t="n">
        <x:v>6</x:v>
      </x:c>
      <x:c r="D24" s="14" t="str">
        <x:v>2026-12-14</x:v>
      </x:c>
      <x:c r="E24" s="16" t="n">
        <x:v>14531.13</x:v>
      </x:c>
      <x:c r="F24" s="16" t="n">
        <x:v>37245.66</x:v>
      </x:c>
      <x:c r="G24" s="16" t="n">
        <x:v>0</x:v>
      </x:c>
      <x:c r="H24" s="16" t="n">
        <x:v>13619.62</x:v>
      </x:c>
      <x:c r="I24" s="16" t="n">
        <x:v>36334.15</x:v>
      </x:c>
      <x:c r="J24" s="16" t="n">
        <x:v>38000</x:v>
      </x:c>
      <x:c r="K24" s="14" t="str">
        <x:v>2026-11-23</x:v>
      </x:c>
      <x:c r="L24" s="14" t="n">
        <x:v>3</x:v>
      </x:c>
      <x:c r="M24" s="14" t="n">
        <x:v>0</x:v>
      </x:c>
      <x:c r="N24" s="16" t="n">
        <x:v>38000</x:v>
      </x:c>
      <x:c r="O24" s="16" t="n">
        <x:v>15285.47</x:v>
      </x:c>
      <x:c r="P24" s="16" t="n">
        <x:v>-234714.53</x:v>
      </x:c>
      <x:c r="Q24" s="16" t="n">
        <x:v>234714.53</x:v>
      </x:c>
      <x:c r="R24" s="14" t="n">
        <x:v>1</x:v>
      </x:c>
      <x:c r="S24" s="16" t="n">
        <x:v>15285.47</x:v>
      </x:c>
      <x:c r="T24" s="16" t="n">
        <x:v>0</x:v>
      </x:c>
      <x:c r="U24" s="14" t="n">
        <x:v>0</x:v>
      </x:c>
      <x:c r="V24" s="18" t="n">
        <x:v>0.092</x:v>
      </x:c>
      <x:c r="W24" s="18" t="n">
        <x:v>3496</x:v>
      </x:c>
      <x:c r="X24" s="14" t="str">
        <x:v>Simulated / illustrative</x:v>
      </x:c>
      <x:c r="Y24" t="n">
        <x:f>ROUND(E24+G24+J24-F24-O24,2)</x:f>
        <x:v>0</x:v>
      </x:c>
    </x:row>
    <x:row r="25" ht="19" customHeight="1">
      <x:c r="A25" s="14" t="str">
        <x:v>slag</x:v>
      </x:c>
      <x:c r="B25" s="14" t="str">
        <x:v>Ground blast furnace slag</x:v>
      </x:c>
      <x:c r="C25" s="14" t="n">
        <x:v>7</x:v>
      </x:c>
      <x:c r="D25" s="14" t="str">
        <x:v>2026-12-21</x:v>
      </x:c>
      <x:c r="E25" s="16" t="n">
        <x:v>15285.47</x:v>
      </x:c>
      <x:c r="F25" s="16" t="n">
        <x:v>40434.5</x:v>
      </x:c>
      <x:c r="G25" s="16" t="n">
        <x:v>0</x:v>
      </x:c>
      <x:c r="H25" s="16" t="n">
        <x:v>13619.62</x:v>
      </x:c>
      <x:c r="I25" s="16" t="n">
        <x:v>38768.65</x:v>
      </x:c>
      <x:c r="J25" s="16" t="n">
        <x:v>40000</x:v>
      </x:c>
      <x:c r="K25" s="14" t="str">
        <x:v>2026-11-30</x:v>
      </x:c>
      <x:c r="L25" s="14" t="n">
        <x:v>3</x:v>
      </x:c>
      <x:c r="M25" s="14" t="n">
        <x:v>0</x:v>
      </x:c>
      <x:c r="N25" s="16" t="n">
        <x:v>40000</x:v>
      </x:c>
      <x:c r="O25" s="16" t="n">
        <x:v>14850.97</x:v>
      </x:c>
      <x:c r="P25" s="16" t="n">
        <x:v>-275149.03</x:v>
      </x:c>
      <x:c r="Q25" s="16" t="n">
        <x:v>275149.03</x:v>
      </x:c>
      <x:c r="R25" s="14" t="n">
        <x:v>1</x:v>
      </x:c>
      <x:c r="S25" s="16" t="n">
        <x:v>14850.97</x:v>
      </x:c>
      <x:c r="T25" s="16" t="n">
        <x:v>0</x:v>
      </x:c>
      <x:c r="U25" s="14" t="n">
        <x:v>0</x:v>
      </x:c>
      <x:c r="V25" s="18" t="n">
        <x:v>0.092</x:v>
      </x:c>
      <x:c r="W25" s="18" t="n">
        <x:v>3680</x:v>
      </x:c>
      <x:c r="X25" s="14" t="str">
        <x:v>Simulated / illustrative</x:v>
      </x:c>
      <x:c r="Y25" t="n">
        <x:f>ROUND(E25+G25+J25-F25-O25,2)</x:f>
        <x:v>0</x:v>
      </x:c>
    </x:row>
    <x:row r="26" ht="19" customHeight="1">
      <x:c r="A26" s="14" t="str">
        <x:v>slag</x:v>
      </x:c>
      <x:c r="B26" s="14" t="str">
        <x:v>Ground blast furnace slag</x:v>
      </x:c>
      <x:c r="C26" s="14" t="n">
        <x:v>8</x:v>
      </x:c>
      <x:c r="D26" s="14" t="str">
        <x:v>2026-12-28</x:v>
      </x:c>
      <x:c r="E26" s="16" t="n">
        <x:v>14850.97</x:v>
      </x:c>
      <x:c r="F26" s="16" t="n">
        <x:v>34105.48</x:v>
      </x:c>
      <x:c r="G26" s="16" t="n">
        <x:v>0</x:v>
      </x:c>
      <x:c r="H26" s="16" t="n">
        <x:v>13619.62</x:v>
      </x:c>
      <x:c r="I26" s="16" t="n">
        <x:v>32874.13</x:v>
      </x:c>
      <x:c r="J26" s="16" t="n">
        <x:v>34000</x:v>
      </x:c>
      <x:c r="K26" s="14" t="str">
        <x:v>2026-12-07</x:v>
      </x:c>
      <x:c r="L26" s="14" t="n">
        <x:v>3</x:v>
      </x:c>
      <x:c r="M26" s="14" t="n">
        <x:v>0</x:v>
      </x:c>
      <x:c r="N26" s="16" t="n">
        <x:v>34000</x:v>
      </x:c>
      <x:c r="O26" s="16" t="n">
        <x:v>14745.49</x:v>
      </x:c>
      <x:c r="P26" s="16" t="n">
        <x:v>-309254.51</x:v>
      </x:c>
      <x:c r="Q26" s="16" t="n">
        <x:v>309254.51</x:v>
      </x:c>
      <x:c r="R26" s="14" t="n">
        <x:v>1</x:v>
      </x:c>
      <x:c r="S26" s="16" t="n">
        <x:v>14745.49</x:v>
      </x:c>
      <x:c r="T26" s="16" t="n">
        <x:v>0</x:v>
      </x:c>
      <x:c r="U26" s="14" t="n">
        <x:v>0</x:v>
      </x:c>
      <x:c r="V26" s="18" t="n">
        <x:v>0.092</x:v>
      </x:c>
      <x:c r="W26" s="18" t="n">
        <x:v>3128</x:v>
      </x:c>
      <x:c r="X26" s="14" t="str">
        <x:v>Simulated / illustrative</x:v>
      </x:c>
      <x:c r="Y26" t="n">
        <x:f>ROUND(E26+G26+J26-F26-O26,2)</x:f>
        <x:v>0</x:v>
      </x:c>
    </x:row>
    <x:row r="27" ht="19" customHeight="1">
      <x:c r="A27" s="14" t="str">
        <x:v>slag</x:v>
      </x:c>
      <x:c r="B27" s="14" t="str">
        <x:v>Ground blast furnace slag</x:v>
      </x:c>
      <x:c r="C27" s="14" t="n">
        <x:v>9</x:v>
      </x:c>
      <x:c r="D27" s="14" t="str">
        <x:v>2027-01-04</x:v>
      </x:c>
      <x:c r="E27" s="16" t="n">
        <x:v>14745.49</x:v>
      </x:c>
      <x:c r="F27" s="16" t="n">
        <x:v>34346.62</x:v>
      </x:c>
      <x:c r="G27" s="16" t="n">
        <x:v>0</x:v>
      </x:c>
      <x:c r="H27" s="16" t="n">
        <x:v>13619.62</x:v>
      </x:c>
      <x:c r="I27" s="16" t="n">
        <x:v>33220.75</x:v>
      </x:c>
      <x:c r="J27" s="16" t="n">
        <x:v>34000</x:v>
      </x:c>
      <x:c r="K27" s="14" t="str">
        <x:v>2026-12-14</x:v>
      </x:c>
      <x:c r="L27" s="14" t="n">
        <x:v>3</x:v>
      </x:c>
      <x:c r="M27" s="14" t="n">
        <x:v>0</x:v>
      </x:c>
      <x:c r="N27" s="16" t="n">
        <x:v>34000</x:v>
      </x:c>
      <x:c r="O27" s="16" t="n">
        <x:v>14398.87</x:v>
      </x:c>
      <x:c r="P27" s="16" t="n">
        <x:v>-343601.13</x:v>
      </x:c>
      <x:c r="Q27" s="16" t="n">
        <x:v>343601.13</x:v>
      </x:c>
      <x:c r="R27" s="14" t="n">
        <x:v>1</x:v>
      </x:c>
      <x:c r="S27" s="16" t="n">
        <x:v>14398.87</x:v>
      </x:c>
      <x:c r="T27" s="16" t="n">
        <x:v>0</x:v>
      </x:c>
      <x:c r="U27" s="14" t="n">
        <x:v>0</x:v>
      </x:c>
      <x:c r="V27" s="18" t="n">
        <x:v>0.092</x:v>
      </x:c>
      <x:c r="W27" s="18" t="n">
        <x:v>3128</x:v>
      </x:c>
      <x:c r="X27" s="14" t="str">
        <x:v>Simulated / illustrative</x:v>
      </x:c>
      <x:c r="Y27" t="n">
        <x:f>ROUND(E27+G27+J27-F27-O27,2)</x:f>
        <x:v>0</x:v>
      </x:c>
    </x:row>
    <x:row r="28" ht="19" customHeight="1">
      <x:c r="A28" s="14" t="str">
        <x:v>slag</x:v>
      </x:c>
      <x:c r="B28" s="14" t="str">
        <x:v>Ground blast furnace slag</x:v>
      </x:c>
      <x:c r="C28" s="14" t="n">
        <x:v>10</x:v>
      </x:c>
      <x:c r="D28" s="14" t="str">
        <x:v>2027-01-11</x:v>
      </x:c>
      <x:c r="E28" s="16" t="n">
        <x:v>14398.87</x:v>
      </x:c>
      <x:c r="F28" s="16" t="n">
        <x:v>37900.86</x:v>
      </x:c>
      <x:c r="G28" s="16" t="n">
        <x:v>0</x:v>
      </x:c>
      <x:c r="H28" s="16" t="n">
        <x:v>13619.62</x:v>
      </x:c>
      <x:c r="I28" s="16" t="n">
        <x:v>37121.61</x:v>
      </x:c>
      <x:c r="J28" s="16" t="n">
        <x:v>38000</x:v>
      </x:c>
      <x:c r="K28" s="14" t="str">
        <x:v>2026-12-21</x:v>
      </x:c>
      <x:c r="L28" s="14" t="n">
        <x:v>3</x:v>
      </x:c>
      <x:c r="M28" s="14" t="n">
        <x:v>0</x:v>
      </x:c>
      <x:c r="N28" s="16" t="n">
        <x:v>38000</x:v>
      </x:c>
      <x:c r="O28" s="16" t="n">
        <x:v>14498.01</x:v>
      </x:c>
      <x:c r="P28" s="16" t="n">
        <x:v>-381501.99</x:v>
      </x:c>
      <x:c r="Q28" s="16" t="n">
        <x:v>381501.99</x:v>
      </x:c>
      <x:c r="R28" s="14" t="n">
        <x:v>1</x:v>
      </x:c>
      <x:c r="S28" s="16" t="n">
        <x:v>14498.01</x:v>
      </x:c>
      <x:c r="T28" s="16" t="n">
        <x:v>0</x:v>
      </x:c>
      <x:c r="U28" s="14" t="n">
        <x:v>0</x:v>
      </x:c>
      <x:c r="V28" s="18" t="n">
        <x:v>0.092</x:v>
      </x:c>
      <x:c r="W28" s="18" t="n">
        <x:v>3496</x:v>
      </x:c>
      <x:c r="X28" s="14" t="str">
        <x:v>Simulated / illustrative</x:v>
      </x:c>
      <x:c r="Y28" t="n">
        <x:f>ROUND(E28+G28+J28-F28-O28,2)</x:f>
        <x:v>0</x:v>
      </x:c>
    </x:row>
    <x:row r="29" ht="19" customHeight="1">
      <x:c r="A29" s="14" t="str">
        <x:v>slag</x:v>
      </x:c>
      <x:c r="B29" s="14" t="str">
        <x:v>Ground blast furnace slag</x:v>
      </x:c>
      <x:c r="C29" s="14" t="n">
        <x:v>11</x:v>
      </x:c>
      <x:c r="D29" s="14" t="str">
        <x:v>2027-01-18</x:v>
      </x:c>
      <x:c r="E29" s="16" t="n">
        <x:v>14498.01</x:v>
      </x:c>
      <x:c r="F29" s="16" t="n">
        <x:v>36425.76</x:v>
      </x:c>
      <x:c r="G29" s="16" t="n">
        <x:v>0</x:v>
      </x:c>
      <x:c r="H29" s="16" t="n">
        <x:v>13619.62</x:v>
      </x:c>
      <x:c r="I29" s="16" t="n">
        <x:v>35547.37</x:v>
      </x:c>
      <x:c r="J29" s="16" t="n">
        <x:v>36000</x:v>
      </x:c>
      <x:c r="K29" s="14" t="str">
        <x:v>2026-12-28</x:v>
      </x:c>
      <x:c r="L29" s="14" t="n">
        <x:v>3</x:v>
      </x:c>
      <x:c r="M29" s="14" t="n">
        <x:v>0</x:v>
      </x:c>
      <x:c r="N29" s="16" t="n">
        <x:v>36000</x:v>
      </x:c>
      <x:c r="O29" s="16" t="n">
        <x:v>14072.25</x:v>
      </x:c>
      <x:c r="P29" s="16" t="n">
        <x:v>-417927.75</x:v>
      </x:c>
      <x:c r="Q29" s="16" t="n">
        <x:v>417927.75</x:v>
      </x:c>
      <x:c r="R29" s="14" t="n">
        <x:v>1</x:v>
      </x:c>
      <x:c r="S29" s="16" t="n">
        <x:v>14072.25</x:v>
      </x:c>
      <x:c r="T29" s="16" t="n">
        <x:v>0</x:v>
      </x:c>
      <x:c r="U29" s="14" t="n">
        <x:v>0</x:v>
      </x:c>
      <x:c r="V29" s="18" t="n">
        <x:v>0.092</x:v>
      </x:c>
      <x:c r="W29" s="18" t="n">
        <x:v>3312</x:v>
      </x:c>
      <x:c r="X29" s="14" t="str">
        <x:v>Simulated / illustrative</x:v>
      </x:c>
      <x:c r="Y29" t="n">
        <x:f>ROUND(E29+G29+J29-F29-O29,2)</x:f>
        <x:v>0</x:v>
      </x:c>
    </x:row>
    <x:row r="30" ht="19" customHeight="1">
      <x:c r="A30" s="14" t="str">
        <x:v>ash</x:v>
      </x:c>
      <x:c r="B30" s="14" t="str">
        <x:v>Fly ash</x:v>
      </x:c>
      <x:c r="C30" s="14" t="n">
        <x:v>0</x:v>
      </x:c>
      <x:c r="D30" s="14" t="str">
        <x:v>2026-11-02</x:v>
      </x:c>
      <x:c r="E30" s="16" t="n">
        <x:v>0</x:v>
      </x:c>
      <x:c r="F30" s="16" t="n">
        <x:v>0</x:v>
      </x:c>
      <x:c r="G30" s="16" t="n">
        <x:v>0</x:v>
      </x:c>
      <x:c r="H30" s="16" t="n">
        <x:v>0</x:v>
      </x:c>
      <x:c r="I30" s="16" t="n">
        <x:v>0</x:v>
      </x:c>
      <x:c r="J30" s="16" t="n">
        <x:v>0</x:v>
      </x:c>
      <x:c r="K30" s="14"/>
      <x:c r="L30" s="14" t="n">
        <x:v>2</x:v>
      </x:c>
      <x:c r="M30" s="14" t="n">
        <x:v>0</x:v>
      </x:c>
      <x:c r="N30" s="16" t="n">
        <x:v>0</x:v>
      </x:c>
      <x:c r="O30" s="16" t="n">
        <x:v>0</x:v>
      </x:c>
      <x:c r="P30" s="16" t="n">
        <x:v>0</x:v>
      </x:c>
      <x:c r="Q30" s="16" t="n">
        <x:v>0</x:v>
      </x:c>
      <x:c r="R30" s="14" t="n">
        <x:v>0</x:v>
      </x:c>
      <x:c r="S30" s="16" t="n">
        <x:v>0</x:v>
      </x:c>
      <x:c r="T30" s="16" t="n">
        <x:v>0</x:v>
      </x:c>
      <x:c r="U30" s="14" t="n">
        <x:v>0</x:v>
      </x:c>
      <x:c r="V30" s="18" t="n">
        <x:v>0.083</x:v>
      </x:c>
      <x:c r="W30" s="18" t="n">
        <x:v>0</x:v>
      </x:c>
      <x:c r="X30" s="14" t="str">
        <x:v>Simulated / illustrative</x:v>
      </x:c>
      <x:c r="Y30" t="n">
        <x:f>ROUND(E30+G30+J30-F30-O30,2)</x:f>
        <x:v>0</x:v>
      </x:c>
    </x:row>
    <x:row r="31" ht="19" customHeight="1">
      <x:c r="A31" s="14" t="str">
        <x:v>ash</x:v>
      </x:c>
      <x:c r="B31" s="14" t="str">
        <x:v>Fly ash</x:v>
      </x:c>
      <x:c r="C31" s="14" t="n">
        <x:v>1</x:v>
      </x:c>
      <x:c r="D31" s="14" t="str">
        <x:v>2026-11-09</x:v>
      </x:c>
      <x:c r="E31" s="16" t="n">
        <x:v>0</x:v>
      </x:c>
      <x:c r="F31" s="16" t="n">
        <x:v>0</x:v>
      </x:c>
      <x:c r="G31" s="16" t="n">
        <x:v>0</x:v>
      </x:c>
      <x:c r="H31" s="16" t="n">
        <x:v>0</x:v>
      </x:c>
      <x:c r="I31" s="16" t="n">
        <x:v>0</x:v>
      </x:c>
      <x:c r="J31" s="16" t="n">
        <x:v>0</x:v>
      </x:c>
      <x:c r="K31" s="14"/>
      <x:c r="L31" s="14" t="n">
        <x:v>2</x:v>
      </x:c>
      <x:c r="M31" s="14" t="n">
        <x:v>0</x:v>
      </x:c>
      <x:c r="N31" s="16" t="n">
        <x:v>0</x:v>
      </x:c>
      <x:c r="O31" s="16" t="n">
        <x:v>0</x:v>
      </x:c>
      <x:c r="P31" s="16" t="n">
        <x:v>0</x:v>
      </x:c>
      <x:c r="Q31" s="16" t="n">
        <x:v>0</x:v>
      </x:c>
      <x:c r="R31" s="14" t="n">
        <x:v>0</x:v>
      </x:c>
      <x:c r="S31" s="16" t="n">
        <x:v>0</x:v>
      </x:c>
      <x:c r="T31" s="16" t="n">
        <x:v>0</x:v>
      </x:c>
      <x:c r="U31" s="14" t="n">
        <x:v>0</x:v>
      </x:c>
      <x:c r="V31" s="18" t="n">
        <x:v>0.083</x:v>
      </x:c>
      <x:c r="W31" s="18" t="n">
        <x:v>0</x:v>
      </x:c>
      <x:c r="X31" s="14" t="str">
        <x:v>Simulated / illustrative</x:v>
      </x:c>
      <x:c r="Y31" t="n">
        <x:f>ROUND(E31+G31+J31-F31-O31,2)</x:f>
        <x:v>0</x:v>
      </x:c>
    </x:row>
    <x:row r="32" ht="19" customHeight="1">
      <x:c r="A32" s="14" t="str">
        <x:v>ash</x:v>
      </x:c>
      <x:c r="B32" s="14" t="str">
        <x:v>Fly ash</x:v>
      </x:c>
      <x:c r="C32" s="14" t="n">
        <x:v>2</x:v>
      </x:c>
      <x:c r="D32" s="14" t="str">
        <x:v>2026-11-16</x:v>
      </x:c>
      <x:c r="E32" s="16" t="n">
        <x:v>0</x:v>
      </x:c>
      <x:c r="F32" s="16" t="n">
        <x:v>0</x:v>
      </x:c>
      <x:c r="G32" s="16" t="n">
        <x:v>0</x:v>
      </x:c>
      <x:c r="H32" s="16" t="n">
        <x:v>0</x:v>
      </x:c>
      <x:c r="I32" s="16" t="n">
        <x:v>0</x:v>
      </x:c>
      <x:c r="J32" s="16" t="n">
        <x:v>0</x:v>
      </x:c>
      <x:c r="K32" s="14"/>
      <x:c r="L32" s="14" t="n">
        <x:v>2</x:v>
      </x:c>
      <x:c r="M32" s="14" t="n">
        <x:v>0</x:v>
      </x:c>
      <x:c r="N32" s="16" t="n">
        <x:v>0</x:v>
      </x:c>
      <x:c r="O32" s="16" t="n">
        <x:v>0</x:v>
      </x:c>
      <x:c r="P32" s="16" t="n">
        <x:v>0</x:v>
      </x:c>
      <x:c r="Q32" s="16" t="n">
        <x:v>0</x:v>
      </x:c>
      <x:c r="R32" s="14" t="n">
        <x:v>0</x:v>
      </x:c>
      <x:c r="S32" s="16" t="n">
        <x:v>0</x:v>
      </x:c>
      <x:c r="T32" s="16" t="n">
        <x:v>0</x:v>
      </x:c>
      <x:c r="U32" s="14" t="n">
        <x:v>0</x:v>
      </x:c>
      <x:c r="V32" s="18" t="n">
        <x:v>0.083</x:v>
      </x:c>
      <x:c r="W32" s="18" t="n">
        <x:v>0</x:v>
      </x:c>
      <x:c r="X32" s="14" t="str">
        <x:v>Simulated / illustrative</x:v>
      </x:c>
      <x:c r="Y32" t="n">
        <x:f>ROUND(E32+G32+J32-F32-O32,2)</x:f>
        <x:v>0</x:v>
      </x:c>
    </x:row>
    <x:row r="33" ht="19" customHeight="1">
      <x:c r="A33" s="14" t="str">
        <x:v>ash</x:v>
      </x:c>
      <x:c r="B33" s="14" t="str">
        <x:v>Fly ash</x:v>
      </x:c>
      <x:c r="C33" s="14" t="n">
        <x:v>3</x:v>
      </x:c>
      <x:c r="D33" s="14" t="str">
        <x:v>2026-11-23</x:v>
      </x:c>
      <x:c r="E33" s="16" t="n">
        <x:v>0</x:v>
      </x:c>
      <x:c r="F33" s="16" t="n">
        <x:v>0</x:v>
      </x:c>
      <x:c r="G33" s="16" t="n">
        <x:v>0</x:v>
      </x:c>
      <x:c r="H33" s="16" t="n">
        <x:v>0</x:v>
      </x:c>
      <x:c r="I33" s="16" t="n">
        <x:v>0</x:v>
      </x:c>
      <x:c r="J33" s="16" t="n">
        <x:v>0</x:v>
      </x:c>
      <x:c r="K33" s="14"/>
      <x:c r="L33" s="14" t="n">
        <x:v>2</x:v>
      </x:c>
      <x:c r="M33" s="14" t="n">
        <x:v>0</x:v>
      </x:c>
      <x:c r="N33" s="16" t="n">
        <x:v>0</x:v>
      </x:c>
      <x:c r="O33" s="16" t="n">
        <x:v>0</x:v>
      </x:c>
      <x:c r="P33" s="16" t="n">
        <x:v>0</x:v>
      </x:c>
      <x:c r="Q33" s="16" t="n">
        <x:v>0</x:v>
      </x:c>
      <x:c r="R33" s="14" t="n">
        <x:v>0</x:v>
      </x:c>
      <x:c r="S33" s="16" t="n">
        <x:v>0</x:v>
      </x:c>
      <x:c r="T33" s="16" t="n">
        <x:v>0</x:v>
      </x:c>
      <x:c r="U33" s="14" t="n">
        <x:v>0</x:v>
      </x:c>
      <x:c r="V33" s="18" t="n">
        <x:v>0.083</x:v>
      </x:c>
      <x:c r="W33" s="18" t="n">
        <x:v>0</x:v>
      </x:c>
      <x:c r="X33" s="14" t="str">
        <x:v>Simulated / illustrative</x:v>
      </x:c>
      <x:c r="Y33" t="n">
        <x:f>ROUND(E33+G33+J33-F33-O33,2)</x:f>
        <x:v>0</x:v>
      </x:c>
    </x:row>
    <x:row r="34" ht="19" customHeight="1">
      <x:c r="A34" s="14" t="str">
        <x:v>ash</x:v>
      </x:c>
      <x:c r="B34" s="14" t="str">
        <x:v>Fly ash</x:v>
      </x:c>
      <x:c r="C34" s="14" t="n">
        <x:v>4</x:v>
      </x:c>
      <x:c r="D34" s="14" t="str">
        <x:v>2026-11-30</x:v>
      </x:c>
      <x:c r="E34" s="16" t="n">
        <x:v>0</x:v>
      </x:c>
      <x:c r="F34" s="16" t="n">
        <x:v>0</x:v>
      </x:c>
      <x:c r="G34" s="16" t="n">
        <x:v>0</x:v>
      </x:c>
      <x:c r="H34" s="16" t="n">
        <x:v>0</x:v>
      </x:c>
      <x:c r="I34" s="16" t="n">
        <x:v>0</x:v>
      </x:c>
      <x:c r="J34" s="16" t="n">
        <x:v>0</x:v>
      </x:c>
      <x:c r="K34" s="14"/>
      <x:c r="L34" s="14" t="n">
        <x:v>2</x:v>
      </x:c>
      <x:c r="M34" s="14" t="n">
        <x:v>0</x:v>
      </x:c>
      <x:c r="N34" s="16" t="n">
        <x:v>0</x:v>
      </x:c>
      <x:c r="O34" s="16" t="n">
        <x:v>0</x:v>
      </x:c>
      <x:c r="P34" s="16" t="n">
        <x:v>0</x:v>
      </x:c>
      <x:c r="Q34" s="16" t="n">
        <x:v>0</x:v>
      </x:c>
      <x:c r="R34" s="14" t="n">
        <x:v>0</x:v>
      </x:c>
      <x:c r="S34" s="16" t="n">
        <x:v>0</x:v>
      </x:c>
      <x:c r="T34" s="16" t="n">
        <x:v>0</x:v>
      </x:c>
      <x:c r="U34" s="14" t="n">
        <x:v>0</x:v>
      </x:c>
      <x:c r="V34" s="18" t="n">
        <x:v>0.083</x:v>
      </x:c>
      <x:c r="W34" s="18" t="n">
        <x:v>0</x:v>
      </x:c>
      <x:c r="X34" s="14" t="str">
        <x:v>Simulated / illustrative</x:v>
      </x:c>
      <x:c r="Y34" t="n">
        <x:f>ROUND(E34+G34+J34-F34-O34,2)</x:f>
        <x:v>0</x:v>
      </x:c>
    </x:row>
    <x:row r="35" ht="19" customHeight="1">
      <x:c r="A35" s="14" t="str">
        <x:v>ash</x:v>
      </x:c>
      <x:c r="B35" s="14" t="str">
        <x:v>Fly ash</x:v>
      </x:c>
      <x:c r="C35" s="14" t="n">
        <x:v>5</x:v>
      </x:c>
      <x:c r="D35" s="14" t="str">
        <x:v>2026-12-07</x:v>
      </x:c>
      <x:c r="E35" s="16" t="n">
        <x:v>0</x:v>
      </x:c>
      <x:c r="F35" s="16" t="n">
        <x:v>0</x:v>
      </x:c>
      <x:c r="G35" s="16" t="n">
        <x:v>0</x:v>
      </x:c>
      <x:c r="H35" s="16" t="n">
        <x:v>0</x:v>
      </x:c>
      <x:c r="I35" s="16" t="n">
        <x:v>0</x:v>
      </x:c>
      <x:c r="J35" s="16" t="n">
        <x:v>0</x:v>
      </x:c>
      <x:c r="K35" s="14"/>
      <x:c r="L35" s="14" t="n">
        <x:v>2</x:v>
      </x:c>
      <x:c r="M35" s="14" t="n">
        <x:v>0</x:v>
      </x:c>
      <x:c r="N35" s="16" t="n">
        <x:v>0</x:v>
      </x:c>
      <x:c r="O35" s="16" t="n">
        <x:v>0</x:v>
      </x:c>
      <x:c r="P35" s="16" t="n">
        <x:v>0</x:v>
      </x:c>
      <x:c r="Q35" s="16" t="n">
        <x:v>0</x:v>
      </x:c>
      <x:c r="R35" s="14" t="n">
        <x:v>0</x:v>
      </x:c>
      <x:c r="S35" s="16" t="n">
        <x:v>0</x:v>
      </x:c>
      <x:c r="T35" s="16" t="n">
        <x:v>0</x:v>
      </x:c>
      <x:c r="U35" s="14" t="n">
        <x:v>0</x:v>
      </x:c>
      <x:c r="V35" s="18" t="n">
        <x:v>0.083</x:v>
      </x:c>
      <x:c r="W35" s="18" t="n">
        <x:v>0</x:v>
      </x:c>
      <x:c r="X35" s="14" t="str">
        <x:v>Simulated / illustrative</x:v>
      </x:c>
      <x:c r="Y35" t="n">
        <x:f>ROUND(E35+G35+J35-F35-O35,2)</x:f>
        <x:v>0</x:v>
      </x:c>
    </x:row>
    <x:row r="36" ht="19" customHeight="1">
      <x:c r="A36" s="14" t="str">
        <x:v>ash</x:v>
      </x:c>
      <x:c r="B36" s="14" t="str">
        <x:v>Fly ash</x:v>
      </x:c>
      <x:c r="C36" s="14" t="n">
        <x:v>6</x:v>
      </x:c>
      <x:c r="D36" s="14" t="str">
        <x:v>2026-12-14</x:v>
      </x:c>
      <x:c r="E36" s="16" t="n">
        <x:v>0</x:v>
      </x:c>
      <x:c r="F36" s="16" t="n">
        <x:v>0</x:v>
      </x:c>
      <x:c r="G36" s="16" t="n">
        <x:v>0</x:v>
      </x:c>
      <x:c r="H36" s="16" t="n">
        <x:v>0</x:v>
      </x:c>
      <x:c r="I36" s="16" t="n">
        <x:v>0</x:v>
      </x:c>
      <x:c r="J36" s="16" t="n">
        <x:v>0</x:v>
      </x:c>
      <x:c r="K36" s="14"/>
      <x:c r="L36" s="14" t="n">
        <x:v>2</x:v>
      </x:c>
      <x:c r="M36" s="14" t="n">
        <x:v>0</x:v>
      </x:c>
      <x:c r="N36" s="16" t="n">
        <x:v>0</x:v>
      </x:c>
      <x:c r="O36" s="16" t="n">
        <x:v>0</x:v>
      </x:c>
      <x:c r="P36" s="16" t="n">
        <x:v>0</x:v>
      </x:c>
      <x:c r="Q36" s="16" t="n">
        <x:v>0</x:v>
      </x:c>
      <x:c r="R36" s="14" t="n">
        <x:v>0</x:v>
      </x:c>
      <x:c r="S36" s="16" t="n">
        <x:v>0</x:v>
      </x:c>
      <x:c r="T36" s="16" t="n">
        <x:v>0</x:v>
      </x:c>
      <x:c r="U36" s="14" t="n">
        <x:v>0</x:v>
      </x:c>
      <x:c r="V36" s="18" t="n">
        <x:v>0.083</x:v>
      </x:c>
      <x:c r="W36" s="18" t="n">
        <x:v>0</x:v>
      </x:c>
      <x:c r="X36" s="14" t="str">
        <x:v>Simulated / illustrative</x:v>
      </x:c>
      <x:c r="Y36" t="n">
        <x:f>ROUND(E36+G36+J36-F36-O36,2)</x:f>
        <x:v>0</x:v>
      </x:c>
    </x:row>
    <x:row r="37" ht="19" customHeight="1">
      <x:c r="A37" s="14" t="str">
        <x:v>ash</x:v>
      </x:c>
      <x:c r="B37" s="14" t="str">
        <x:v>Fly ash</x:v>
      </x:c>
      <x:c r="C37" s="14" t="n">
        <x:v>7</x:v>
      </x:c>
      <x:c r="D37" s="14" t="str">
        <x:v>2026-12-21</x:v>
      </x:c>
      <x:c r="E37" s="16" t="n">
        <x:v>0</x:v>
      </x:c>
      <x:c r="F37" s="16" t="n">
        <x:v>0</x:v>
      </x:c>
      <x:c r="G37" s="16" t="n">
        <x:v>0</x:v>
      </x:c>
      <x:c r="H37" s="16" t="n">
        <x:v>0</x:v>
      </x:c>
      <x:c r="I37" s="16" t="n">
        <x:v>0</x:v>
      </x:c>
      <x:c r="J37" s="16" t="n">
        <x:v>0</x:v>
      </x:c>
      <x:c r="K37" s="14"/>
      <x:c r="L37" s="14" t="n">
        <x:v>2</x:v>
      </x:c>
      <x:c r="M37" s="14" t="n">
        <x:v>0</x:v>
      </x:c>
      <x:c r="N37" s="16" t="n">
        <x:v>0</x:v>
      </x:c>
      <x:c r="O37" s="16" t="n">
        <x:v>0</x:v>
      </x:c>
      <x:c r="P37" s="16" t="n">
        <x:v>0</x:v>
      </x:c>
      <x:c r="Q37" s="16" t="n">
        <x:v>0</x:v>
      </x:c>
      <x:c r="R37" s="14" t="n">
        <x:v>0</x:v>
      </x:c>
      <x:c r="S37" s="16" t="n">
        <x:v>0</x:v>
      </x:c>
      <x:c r="T37" s="16" t="n">
        <x:v>0</x:v>
      </x:c>
      <x:c r="U37" s="14" t="n">
        <x:v>0</x:v>
      </x:c>
      <x:c r="V37" s="18" t="n">
        <x:v>0.083</x:v>
      </x:c>
      <x:c r="W37" s="18" t="n">
        <x:v>0</x:v>
      </x:c>
      <x:c r="X37" s="14" t="str">
        <x:v>Simulated / illustrative</x:v>
      </x:c>
      <x:c r="Y37" t="n">
        <x:f>ROUND(E37+G37+J37-F37-O37,2)</x:f>
        <x:v>0</x:v>
      </x:c>
    </x:row>
    <x:row r="38" ht="19" customHeight="1">
      <x:c r="A38" s="14" t="str">
        <x:v>ash</x:v>
      </x:c>
      <x:c r="B38" s="14" t="str">
        <x:v>Fly ash</x:v>
      </x:c>
      <x:c r="C38" s="14" t="n">
        <x:v>8</x:v>
      </x:c>
      <x:c r="D38" s="14" t="str">
        <x:v>2026-12-28</x:v>
      </x:c>
      <x:c r="E38" s="16" t="n">
        <x:v>0</x:v>
      </x:c>
      <x:c r="F38" s="16" t="n">
        <x:v>0</x:v>
      </x:c>
      <x:c r="G38" s="16" t="n">
        <x:v>0</x:v>
      </x:c>
      <x:c r="H38" s="16" t="n">
        <x:v>0</x:v>
      </x:c>
      <x:c r="I38" s="16" t="n">
        <x:v>0</x:v>
      </x:c>
      <x:c r="J38" s="16" t="n">
        <x:v>0</x:v>
      </x:c>
      <x:c r="K38" s="14"/>
      <x:c r="L38" s="14" t="n">
        <x:v>2</x:v>
      </x:c>
      <x:c r="M38" s="14" t="n">
        <x:v>0</x:v>
      </x:c>
      <x:c r="N38" s="16" t="n">
        <x:v>0</x:v>
      </x:c>
      <x:c r="O38" s="16" t="n">
        <x:v>0</x:v>
      </x:c>
      <x:c r="P38" s="16" t="n">
        <x:v>0</x:v>
      </x:c>
      <x:c r="Q38" s="16" t="n">
        <x:v>0</x:v>
      </x:c>
      <x:c r="R38" s="14" t="n">
        <x:v>0</x:v>
      </x:c>
      <x:c r="S38" s="16" t="n">
        <x:v>0</x:v>
      </x:c>
      <x:c r="T38" s="16" t="n">
        <x:v>0</x:v>
      </x:c>
      <x:c r="U38" s="14" t="n">
        <x:v>0</x:v>
      </x:c>
      <x:c r="V38" s="18" t="n">
        <x:v>0.083</x:v>
      </x:c>
      <x:c r="W38" s="18" t="n">
        <x:v>0</x:v>
      </x:c>
      <x:c r="X38" s="14" t="str">
        <x:v>Simulated / illustrative</x:v>
      </x:c>
      <x:c r="Y38" t="n">
        <x:f>ROUND(E38+G38+J38-F38-O38,2)</x:f>
        <x:v>0</x:v>
      </x:c>
    </x:row>
    <x:row r="39" ht="19" customHeight="1">
      <x:c r="A39" s="14" t="str">
        <x:v>ash</x:v>
      </x:c>
      <x:c r="B39" s="14" t="str">
        <x:v>Fly ash</x:v>
      </x:c>
      <x:c r="C39" s="14" t="n">
        <x:v>9</x:v>
      </x:c>
      <x:c r="D39" s="14" t="str">
        <x:v>2027-01-04</x:v>
      </x:c>
      <x:c r="E39" s="16" t="n">
        <x:v>0</x:v>
      </x:c>
      <x:c r="F39" s="16" t="n">
        <x:v>0</x:v>
      </x:c>
      <x:c r="G39" s="16" t="n">
        <x:v>0</x:v>
      </x:c>
      <x:c r="H39" s="16" t="n">
        <x:v>0</x:v>
      </x:c>
      <x:c r="I39" s="16" t="n">
        <x:v>0</x:v>
      </x:c>
      <x:c r="J39" s="16" t="n">
        <x:v>0</x:v>
      </x:c>
      <x:c r="K39" s="14"/>
      <x:c r="L39" s="14" t="n">
        <x:v>2</x:v>
      </x:c>
      <x:c r="M39" s="14" t="n">
        <x:v>0</x:v>
      </x:c>
      <x:c r="N39" s="16" t="n">
        <x:v>0</x:v>
      </x:c>
      <x:c r="O39" s="16" t="n">
        <x:v>0</x:v>
      </x:c>
      <x:c r="P39" s="16" t="n">
        <x:v>0</x:v>
      </x:c>
      <x:c r="Q39" s="16" t="n">
        <x:v>0</x:v>
      </x:c>
      <x:c r="R39" s="14" t="n">
        <x:v>0</x:v>
      </x:c>
      <x:c r="S39" s="16" t="n">
        <x:v>0</x:v>
      </x:c>
      <x:c r="T39" s="16" t="n">
        <x:v>0</x:v>
      </x:c>
      <x:c r="U39" s="14" t="n">
        <x:v>0</x:v>
      </x:c>
      <x:c r="V39" s="18" t="n">
        <x:v>0.083</x:v>
      </x:c>
      <x:c r="W39" s="18" t="n">
        <x:v>0</x:v>
      </x:c>
      <x:c r="X39" s="14" t="str">
        <x:v>Simulated / illustrative</x:v>
      </x:c>
      <x:c r="Y39" t="n">
        <x:f>ROUND(E39+G39+J39-F39-O39,2)</x:f>
        <x:v>0</x:v>
      </x:c>
    </x:row>
    <x:row r="40" ht="19" customHeight="1">
      <x:c r="A40" s="14" t="str">
        <x:v>ash</x:v>
      </x:c>
      <x:c r="B40" s="14" t="str">
        <x:v>Fly ash</x:v>
      </x:c>
      <x:c r="C40" s="14" t="n">
        <x:v>10</x:v>
      </x:c>
      <x:c r="D40" s="14" t="str">
        <x:v>2027-01-11</x:v>
      </x:c>
      <x:c r="E40" s="16" t="n">
        <x:v>0</x:v>
      </x:c>
      <x:c r="F40" s="16" t="n">
        <x:v>0</x:v>
      </x:c>
      <x:c r="G40" s="16" t="n">
        <x:v>0</x:v>
      </x:c>
      <x:c r="H40" s="16" t="n">
        <x:v>0</x:v>
      </x:c>
      <x:c r="I40" s="16" t="n">
        <x:v>0</x:v>
      </x:c>
      <x:c r="J40" s="16" t="n">
        <x:v>0</x:v>
      </x:c>
      <x:c r="K40" s="14"/>
      <x:c r="L40" s="14" t="n">
        <x:v>2</x:v>
      </x:c>
      <x:c r="M40" s="14" t="n">
        <x:v>0</x:v>
      </x:c>
      <x:c r="N40" s="16" t="n">
        <x:v>0</x:v>
      </x:c>
      <x:c r="O40" s="16" t="n">
        <x:v>0</x:v>
      </x:c>
      <x:c r="P40" s="16" t="n">
        <x:v>0</x:v>
      </x:c>
      <x:c r="Q40" s="16" t="n">
        <x:v>0</x:v>
      </x:c>
      <x:c r="R40" s="14" t="n">
        <x:v>0</x:v>
      </x:c>
      <x:c r="S40" s="16" t="n">
        <x:v>0</x:v>
      </x:c>
      <x:c r="T40" s="16" t="n">
        <x:v>0</x:v>
      </x:c>
      <x:c r="U40" s="14" t="n">
        <x:v>0</x:v>
      </x:c>
      <x:c r="V40" s="18" t="n">
        <x:v>0.083</x:v>
      </x:c>
      <x:c r="W40" s="18" t="n">
        <x:v>0</x:v>
      </x:c>
      <x:c r="X40" s="14" t="str">
        <x:v>Simulated / illustrative</x:v>
      </x:c>
      <x:c r="Y40" t="n">
        <x:f>ROUND(E40+G40+J40-F40-O40,2)</x:f>
        <x:v>0</x:v>
      </x:c>
    </x:row>
    <x:row r="41" ht="19" customHeight="1">
      <x:c r="A41" s="14" t="str">
        <x:v>ash</x:v>
      </x:c>
      <x:c r="B41" s="14" t="str">
        <x:v>Fly ash</x:v>
      </x:c>
      <x:c r="C41" s="14" t="n">
        <x:v>11</x:v>
      </x:c>
      <x:c r="D41" s="14" t="str">
        <x:v>2027-01-18</x:v>
      </x:c>
      <x:c r="E41" s="16" t="n">
        <x:v>0</x:v>
      </x:c>
      <x:c r="F41" s="16" t="n">
        <x:v>0</x:v>
      </x:c>
      <x:c r="G41" s="16" t="n">
        <x:v>0</x:v>
      </x:c>
      <x:c r="H41" s="16" t="n">
        <x:v>0</x:v>
      </x:c>
      <x:c r="I41" s="16" t="n">
        <x:v>0</x:v>
      </x:c>
      <x:c r="J41" s="16" t="n">
        <x:v>0</x:v>
      </x:c>
      <x:c r="K41" s="14"/>
      <x:c r="L41" s="14" t="n">
        <x:v>2</x:v>
      </x:c>
      <x:c r="M41" s="14" t="n">
        <x:v>0</x:v>
      </x:c>
      <x:c r="N41" s="16" t="n">
        <x:v>0</x:v>
      </x:c>
      <x:c r="O41" s="16" t="n">
        <x:v>0</x:v>
      </x:c>
      <x:c r="P41" s="16" t="n">
        <x:v>0</x:v>
      </x:c>
      <x:c r="Q41" s="16" t="n">
        <x:v>0</x:v>
      </x:c>
      <x:c r="R41" s="14" t="n">
        <x:v>0</x:v>
      </x:c>
      <x:c r="S41" s="16" t="n">
        <x:v>0</x:v>
      </x:c>
      <x:c r="T41" s="16" t="n">
        <x:v>0</x:v>
      </x:c>
      <x:c r="U41" s="14" t="n">
        <x:v>0</x:v>
      </x:c>
      <x:c r="V41" s="18" t="n">
        <x:v>0.083</x:v>
      </x:c>
      <x:c r="W41" s="18" t="n">
        <x:v>0</x:v>
      </x:c>
      <x:c r="X41" s="14" t="str">
        <x:v>Simulated / illustrative</x:v>
      </x:c>
      <x:c r="Y41" t="n">
        <x:f>ROUND(E41+G41+J41-F41-O41,2)</x:f>
        <x:v>0</x:v>
      </x:c>
    </x:row>
    <x:row r="42" ht="19" customHeight="1">
      <x:c r="A42" s="14" t="str">
        <x:v>water</x:v>
      </x:c>
      <x:c r="B42" s="14" t="str">
        <x:v>Mixing water</x:v>
      </x:c>
      <x:c r="C42" s="14" t="n">
        <x:v>0</x:v>
      </x:c>
      <x:c r="D42" s="14" t="str">
        <x:v>2026-11-02</x:v>
      </x:c>
      <x:c r="E42" s="16" t="n">
        <x:v>70311.56</x:v>
      </x:c>
      <x:c r="F42" s="16" t="n">
        <x:v>53085.15</x:v>
      </x:c>
      <x:c r="G42" s="16" t="n">
        <x:v>0</x:v>
      </x:c>
      <x:c r="H42" s="16" t="n">
        <x:v>18228.92</x:v>
      </x:c>
      <x:c r="I42" s="16" t="n">
        <x:v>1002.51</x:v>
      </x:c>
      <x:c r="J42" s="16" t="n">
        <x:v>5000</x:v>
      </x:c>
      <x:c r="K42" s="14" t="str">
        <x:v>2026-11-02</x:v>
      </x:c>
      <x:c r="L42" s="14" t="n">
        <x:v>0</x:v>
      </x:c>
      <x:c r="M42" s="14" t="n">
        <x:v>0</x:v>
      </x:c>
      <x:c r="N42" s="16" t="n">
        <x:v>5000</x:v>
      </x:c>
      <x:c r="O42" s="16" t="n">
        <x:v>22226.41</x:v>
      </x:c>
      <x:c r="P42" s="16" t="n">
        <x:v>17226.41</x:v>
      </x:c>
      <x:c r="Q42" s="16" t="n">
        <x:v>0</x:v>
      </x:c>
      <x:c r="R42" s="14" t="n">
        <x:v>0</x:v>
      </x:c>
      <x:c r="S42" s="16" t="n">
        <x:v>22226.41</x:v>
      </x:c>
      <x:c r="T42" s="16" t="n">
        <x:v>0</x:v>
      </x:c>
      <x:c r="U42" s="14" t="n">
        <x:v>0</x:v>
      </x:c>
      <x:c r="V42" s="18" t="n">
        <x:v>0.004</x:v>
      </x:c>
      <x:c r="W42" s="18" t="n">
        <x:v>20</x:v>
      </x:c>
      <x:c r="X42" s="14" t="str">
        <x:v>Simulated / illustrative</x:v>
      </x:c>
      <x:c r="Y42" t="n">
        <x:f>ROUND(E42+G42+J42-F42-O42,2)</x:f>
        <x:v>0</x:v>
      </x:c>
    </x:row>
    <x:row r="43" ht="19" customHeight="1">
      <x:c r="A43" s="14" t="str">
        <x:v>water</x:v>
      </x:c>
      <x:c r="B43" s="14" t="str">
        <x:v>Mixing water</x:v>
      </x:c>
      <x:c r="C43" s="14" t="n">
        <x:v>1</x:v>
      </x:c>
      <x:c r="D43" s="14" t="str">
        <x:v>2026-11-09</x:v>
      </x:c>
      <x:c r="E43" s="16" t="n">
        <x:v>22226.41</x:v>
      </x:c>
      <x:c r="F43" s="16" t="n">
        <x:v>55374.45</x:v>
      </x:c>
      <x:c r="G43" s="16" t="n">
        <x:v>10416.53</x:v>
      </x:c>
      <x:c r="H43" s="16" t="n">
        <x:v>18228.92</x:v>
      </x:c>
      <x:c r="I43" s="16" t="n">
        <x:v>40960.43</x:v>
      </x:c>
      <x:c r="J43" s="16" t="n">
        <x:v>41000</x:v>
      </x:c>
      <x:c r="K43" s="14" t="str">
        <x:v>2026-11-09</x:v>
      </x:c>
      <x:c r="L43" s="14" t="n">
        <x:v>0</x:v>
      </x:c>
      <x:c r="M43" s="14" t="n">
        <x:v>0</x:v>
      </x:c>
      <x:c r="N43" s="16" t="n">
        <x:v>41000</x:v>
      </x:c>
      <x:c r="O43" s="16" t="n">
        <x:v>18268.49</x:v>
      </x:c>
      <x:c r="P43" s="16" t="n">
        <x:v>-27731.51</x:v>
      </x:c>
      <x:c r="Q43" s="16" t="n">
        <x:v>27731.51</x:v>
      </x:c>
      <x:c r="R43" s="14" t="n">
        <x:v>1</x:v>
      </x:c>
      <x:c r="S43" s="16" t="n">
        <x:v>18268.49</x:v>
      </x:c>
      <x:c r="T43" s="16" t="n">
        <x:v>0</x:v>
      </x:c>
      <x:c r="U43" s="14" t="n">
        <x:v>0</x:v>
      </x:c>
      <x:c r="V43" s="18" t="n">
        <x:v>0.004</x:v>
      </x:c>
      <x:c r="W43" s="18" t="n">
        <x:v>164</x:v>
      </x:c>
      <x:c r="X43" s="14" t="str">
        <x:v>Simulated / illustrative</x:v>
      </x:c>
      <x:c r="Y43" t="n">
        <x:f>ROUND(E43+G43+J43-F43-O43,2)</x:f>
        <x:v>0</x:v>
      </x:c>
    </x:row>
    <x:row r="44" ht="19" customHeight="1">
      <x:c r="A44" s="14" t="str">
        <x:v>water</x:v>
      </x:c>
      <x:c r="B44" s="14" t="str">
        <x:v>Mixing water</x:v>
      </x:c>
      <x:c r="C44" s="14" t="n">
        <x:v>2</x:v>
      </x:c>
      <x:c r="D44" s="14" t="str">
        <x:v>2026-11-16</x:v>
      </x:c>
      <x:c r="E44" s="16" t="n">
        <x:v>18268.49</x:v>
      </x:c>
      <x:c r="F44" s="16" t="n">
        <x:v>50694.15</x:v>
      </x:c>
      <x:c r="G44" s="16" t="n">
        <x:v>0</x:v>
      </x:c>
      <x:c r="H44" s="16" t="n">
        <x:v>18228.92</x:v>
      </x:c>
      <x:c r="I44" s="16" t="n">
        <x:v>50654.58</x:v>
      </x:c>
      <x:c r="J44" s="16" t="n">
        <x:v>51000</x:v>
      </x:c>
      <x:c r="K44" s="14" t="str">
        <x:v>2026-11-16</x:v>
      </x:c>
      <x:c r="L44" s="14" t="n">
        <x:v>0</x:v>
      </x:c>
      <x:c r="M44" s="14" t="n">
        <x:v>0</x:v>
      </x:c>
      <x:c r="N44" s="16" t="n">
        <x:v>51000</x:v>
      </x:c>
      <x:c r="O44" s="16" t="n">
        <x:v>18574.34</x:v>
      </x:c>
      <x:c r="P44" s="16" t="n">
        <x:v>-78425.66</x:v>
      </x:c>
      <x:c r="Q44" s="16" t="n">
        <x:v>78425.66</x:v>
      </x:c>
      <x:c r="R44" s="14" t="n">
        <x:v>1</x:v>
      </x:c>
      <x:c r="S44" s="16" t="n">
        <x:v>18574.34</x:v>
      </x:c>
      <x:c r="T44" s="16" t="n">
        <x:v>0</x:v>
      </x:c>
      <x:c r="U44" s="14" t="n">
        <x:v>0</x:v>
      </x:c>
      <x:c r="V44" s="18" t="n">
        <x:v>0.004</x:v>
      </x:c>
      <x:c r="W44" s="18" t="n">
        <x:v>204</x:v>
      </x:c>
      <x:c r="X44" s="14" t="str">
        <x:v>Simulated / illustrative</x:v>
      </x:c>
      <x:c r="Y44" t="n">
        <x:f>ROUND(E44+G44+J44-F44-O44,2)</x:f>
        <x:v>0</x:v>
      </x:c>
    </x:row>
    <x:row r="45" ht="19" customHeight="1">
      <x:c r="A45" s="14" t="str">
        <x:v>water</x:v>
      </x:c>
      <x:c r="B45" s="14" t="str">
        <x:v>Mixing water</x:v>
      </x:c>
      <x:c r="C45" s="14" t="n">
        <x:v>3</x:v>
      </x:c>
      <x:c r="D45" s="14" t="str">
        <x:v>2026-11-23</x:v>
      </x:c>
      <x:c r="E45" s="16" t="n">
        <x:v>18574.34</x:v>
      </x:c>
      <x:c r="F45" s="16" t="n">
        <x:v>58256.1</x:v>
      </x:c>
      <x:c r="G45" s="16" t="n">
        <x:v>0</x:v>
      </x:c>
      <x:c r="H45" s="16" t="n">
        <x:v>18228.92</x:v>
      </x:c>
      <x:c r="I45" s="16" t="n">
        <x:v>57910.68</x:v>
      </x:c>
      <x:c r="J45" s="16" t="n">
        <x:v>58000</x:v>
      </x:c>
      <x:c r="K45" s="14" t="str">
        <x:v>2026-11-23</x:v>
      </x:c>
      <x:c r="L45" s="14" t="n">
        <x:v>0</x:v>
      </x:c>
      <x:c r="M45" s="14" t="n">
        <x:v>0</x:v>
      </x:c>
      <x:c r="N45" s="16" t="n">
        <x:v>58000</x:v>
      </x:c>
      <x:c r="O45" s="16" t="n">
        <x:v>18318.24</x:v>
      </x:c>
      <x:c r="P45" s="16" t="n">
        <x:v>-136681.76</x:v>
      </x:c>
      <x:c r="Q45" s="16" t="n">
        <x:v>136681.76</x:v>
      </x:c>
      <x:c r="R45" s="14" t="n">
        <x:v>1</x:v>
      </x:c>
      <x:c r="S45" s="16" t="n">
        <x:v>18318.24</x:v>
      </x:c>
      <x:c r="T45" s="16" t="n">
        <x:v>0</x:v>
      </x:c>
      <x:c r="U45" s="14" t="n">
        <x:v>0</x:v>
      </x:c>
      <x:c r="V45" s="18" t="n">
        <x:v>0.004</x:v>
      </x:c>
      <x:c r="W45" s="18" t="n">
        <x:v>232</x:v>
      </x:c>
      <x:c r="X45" s="14" t="str">
        <x:v>Simulated / illustrative</x:v>
      </x:c>
      <x:c r="Y45" t="n">
        <x:f>ROUND(E45+G45+J45-F45-O45,2)</x:f>
        <x:v>0</x:v>
      </x:c>
    </x:row>
    <x:row r="46" ht="19" customHeight="1">
      <x:c r="A46" s="14" t="str">
        <x:v>water</x:v>
      </x:c>
      <x:c r="B46" s="14" t="str">
        <x:v>Mixing water</x:v>
      </x:c>
      <x:c r="C46" s="14" t="n">
        <x:v>4</x:v>
      </x:c>
      <x:c r="D46" s="14" t="str">
        <x:v>2026-11-30</x:v>
      </x:c>
      <x:c r="E46" s="16" t="n">
        <x:v>18318.24</x:v>
      </x:c>
      <x:c r="F46" s="16" t="n">
        <x:v>59108.55</x:v>
      </x:c>
      <x:c r="G46" s="16" t="n">
        <x:v>0</x:v>
      </x:c>
      <x:c r="H46" s="16" t="n">
        <x:v>18228.92</x:v>
      </x:c>
      <x:c r="I46" s="16" t="n">
        <x:v>59019.23</x:v>
      </x:c>
      <x:c r="J46" s="16" t="n">
        <x:v>60000</x:v>
      </x:c>
      <x:c r="K46" s="14" t="str">
        <x:v>2026-11-30</x:v>
      </x:c>
      <x:c r="L46" s="14" t="n">
        <x:v>0</x:v>
      </x:c>
      <x:c r="M46" s="14" t="n">
        <x:v>0</x:v>
      </x:c>
      <x:c r="N46" s="16" t="n">
        <x:v>60000</x:v>
      </x:c>
      <x:c r="O46" s="16" t="n">
        <x:v>19209.69</x:v>
      </x:c>
      <x:c r="P46" s="16" t="n">
        <x:v>-195790.31</x:v>
      </x:c>
      <x:c r="Q46" s="16" t="n">
        <x:v>195790.31</x:v>
      </x:c>
      <x:c r="R46" s="14" t="n">
        <x:v>1</x:v>
      </x:c>
      <x:c r="S46" s="16" t="n">
        <x:v>19209.69</x:v>
      </x:c>
      <x:c r="T46" s="16" t="n">
        <x:v>0</x:v>
      </x:c>
      <x:c r="U46" s="14" t="n">
        <x:v>0</x:v>
      </x:c>
      <x:c r="V46" s="18" t="n">
        <x:v>0.004</x:v>
      </x:c>
      <x:c r="W46" s="18" t="n">
        <x:v>240</x:v>
      </x:c>
      <x:c r="X46" s="14" t="str">
        <x:v>Simulated / illustrative</x:v>
      </x:c>
      <x:c r="Y46" t="n">
        <x:f>ROUND(E46+G46+J46-F46-O46,2)</x:f>
        <x:v>0</x:v>
      </x:c>
    </x:row>
    <x:row r="47" ht="19" customHeight="1">
      <x:c r="A47" s="14" t="str">
        <x:v>water</x:v>
      </x:c>
      <x:c r="B47" s="14" t="str">
        <x:v>Mixing water</x:v>
      </x:c>
      <x:c r="C47" s="14" t="n">
        <x:v>5</x:v>
      </x:c>
      <x:c r="D47" s="14" t="str">
        <x:v>2026-12-07</x:v>
      </x:c>
      <x:c r="E47" s="16" t="n">
        <x:v>19209.69</x:v>
      </x:c>
      <x:c r="F47" s="16" t="n">
        <x:v>53317.35</x:v>
      </x:c>
      <x:c r="G47" s="16" t="n">
        <x:v>0</x:v>
      </x:c>
      <x:c r="H47" s="16" t="n">
        <x:v>18228.92</x:v>
      </x:c>
      <x:c r="I47" s="16" t="n">
        <x:v>52336.58</x:v>
      </x:c>
      <x:c r="J47" s="16" t="n">
        <x:v>53000</x:v>
      </x:c>
      <x:c r="K47" s="14" t="str">
        <x:v>2026-12-07</x:v>
      </x:c>
      <x:c r="L47" s="14" t="n">
        <x:v>0</x:v>
      </x:c>
      <x:c r="M47" s="14" t="n">
        <x:v>0</x:v>
      </x:c>
      <x:c r="N47" s="16" t="n">
        <x:v>53000</x:v>
      </x:c>
      <x:c r="O47" s="16" t="n">
        <x:v>18892.34</x:v>
      </x:c>
      <x:c r="P47" s="16" t="n">
        <x:v>-249107.66</x:v>
      </x:c>
      <x:c r="Q47" s="16" t="n">
        <x:v>249107.66</x:v>
      </x:c>
      <x:c r="R47" s="14" t="n">
        <x:v>1</x:v>
      </x:c>
      <x:c r="S47" s="16" t="n">
        <x:v>18892.34</x:v>
      </x:c>
      <x:c r="T47" s="16" t="n">
        <x:v>0</x:v>
      </x:c>
      <x:c r="U47" s="14" t="n">
        <x:v>0</x:v>
      </x:c>
      <x:c r="V47" s="18" t="n">
        <x:v>0.004</x:v>
      </x:c>
      <x:c r="W47" s="18" t="n">
        <x:v>212</x:v>
      </x:c>
      <x:c r="X47" s="14" t="str">
        <x:v>Simulated / illustrative</x:v>
      </x:c>
      <x:c r="Y47" t="n">
        <x:f>ROUND(E47+G47+J47-F47-O47,2)</x:f>
        <x:v>0</x:v>
      </x:c>
    </x:row>
    <x:row r="48" ht="19" customHeight="1">
      <x:c r="A48" s="14" t="str">
        <x:v>water</x:v>
      </x:c>
      <x:c r="B48" s="14" t="str">
        <x:v>Mixing water</x:v>
      </x:c>
      <x:c r="C48" s="14" t="n">
        <x:v>6</x:v>
      </x:c>
      <x:c r="D48" s="14" t="str">
        <x:v>2026-12-14</x:v>
      </x:c>
      <x:c r="E48" s="16" t="n">
        <x:v>18892.34</x:v>
      </x:c>
      <x:c r="F48" s="16" t="n">
        <x:v>51754.05</x:v>
      </x:c>
      <x:c r="G48" s="16" t="n">
        <x:v>0</x:v>
      </x:c>
      <x:c r="H48" s="16" t="n">
        <x:v>18228.92</x:v>
      </x:c>
      <x:c r="I48" s="16" t="n">
        <x:v>51090.63</x:v>
      </x:c>
      <x:c r="J48" s="16" t="n">
        <x:v>52000</x:v>
      </x:c>
      <x:c r="K48" s="14" t="str">
        <x:v>2026-12-14</x:v>
      </x:c>
      <x:c r="L48" s="14" t="n">
        <x:v>0</x:v>
      </x:c>
      <x:c r="M48" s="14" t="n">
        <x:v>0</x:v>
      </x:c>
      <x:c r="N48" s="16" t="n">
        <x:v>52000</x:v>
      </x:c>
      <x:c r="O48" s="16" t="n">
        <x:v>19138.29</x:v>
      </x:c>
      <x:c r="P48" s="16" t="n">
        <x:v>-300861.71</x:v>
      </x:c>
      <x:c r="Q48" s="16" t="n">
        <x:v>300861.71</x:v>
      </x:c>
      <x:c r="R48" s="14" t="n">
        <x:v>1</x:v>
      </x:c>
      <x:c r="S48" s="16" t="n">
        <x:v>19138.29</x:v>
      </x:c>
      <x:c r="T48" s="16" t="n">
        <x:v>0</x:v>
      </x:c>
      <x:c r="U48" s="14" t="n">
        <x:v>0</x:v>
      </x:c>
      <x:c r="V48" s="18" t="n">
        <x:v>0.004</x:v>
      </x:c>
      <x:c r="W48" s="18" t="n">
        <x:v>208</x:v>
      </x:c>
      <x:c r="X48" s="14" t="str">
        <x:v>Simulated / illustrative</x:v>
      </x:c>
      <x:c r="Y48" t="n">
        <x:f>ROUND(E48+G48+J48-F48-O48,2)</x:f>
        <x:v>0</x:v>
      </x:c>
    </x:row>
    <x:row r="49" ht="19" customHeight="1">
      <x:c r="A49" s="14" t="str">
        <x:v>water</x:v>
      </x:c>
      <x:c r="B49" s="14" t="str">
        <x:v>Mixing water</x:v>
      </x:c>
      <x:c r="C49" s="14" t="n">
        <x:v>7</x:v>
      </x:c>
      <x:c r="D49" s="14" t="str">
        <x:v>2026-12-21</x:v>
      </x:c>
      <x:c r="E49" s="16" t="n">
        <x:v>19138.29</x:v>
      </x:c>
      <x:c r="F49" s="16" t="n">
        <x:v>51241.65</x:v>
      </x:c>
      <x:c r="G49" s="16" t="n">
        <x:v>0</x:v>
      </x:c>
      <x:c r="H49" s="16" t="n">
        <x:v>18228.92</x:v>
      </x:c>
      <x:c r="I49" s="16" t="n">
        <x:v>50332.28</x:v>
      </x:c>
      <x:c r="J49" s="16" t="n">
        <x:v>51000</x:v>
      </x:c>
      <x:c r="K49" s="14" t="str">
        <x:v>2026-12-21</x:v>
      </x:c>
      <x:c r="L49" s="14" t="n">
        <x:v>0</x:v>
      </x:c>
      <x:c r="M49" s="14" t="n">
        <x:v>0</x:v>
      </x:c>
      <x:c r="N49" s="16" t="n">
        <x:v>51000</x:v>
      </x:c>
      <x:c r="O49" s="16" t="n">
        <x:v>18896.64</x:v>
      </x:c>
      <x:c r="P49" s="16" t="n">
        <x:v>-352103.36</x:v>
      </x:c>
      <x:c r="Q49" s="16" t="n">
        <x:v>352103.36</x:v>
      </x:c>
      <x:c r="R49" s="14" t="n">
        <x:v>1</x:v>
      </x:c>
      <x:c r="S49" s="16" t="n">
        <x:v>18896.64</x:v>
      </x:c>
      <x:c r="T49" s="16" t="n">
        <x:v>0</x:v>
      </x:c>
      <x:c r="U49" s="14" t="n">
        <x:v>0</x:v>
      </x:c>
      <x:c r="V49" s="18" t="n">
        <x:v>0.004</x:v>
      </x:c>
      <x:c r="W49" s="18" t="n">
        <x:v>204</x:v>
      </x:c>
      <x:c r="X49" s="14" t="str">
        <x:v>Simulated / illustrative</x:v>
      </x:c>
      <x:c r="Y49" t="n">
        <x:f>ROUND(E49+G49+J49-F49-O49,2)</x:f>
        <x:v>0</x:v>
      </x:c>
    </x:row>
    <x:row r="50" ht="19" customHeight="1">
      <x:c r="A50" s="14" t="str">
        <x:v>water</x:v>
      </x:c>
      <x:c r="B50" s="14" t="str">
        <x:v>Mixing water</x:v>
      </x:c>
      <x:c r="C50" s="14" t="n">
        <x:v>8</x:v>
      </x:c>
      <x:c r="D50" s="14" t="str">
        <x:v>2026-12-28</x:v>
      </x:c>
      <x:c r="E50" s="16" t="n">
        <x:v>18896.64</x:v>
      </x:c>
      <x:c r="F50" s="16" t="n">
        <x:v>47192.4</x:v>
      </x:c>
      <x:c r="G50" s="16" t="n">
        <x:v>0</x:v>
      </x:c>
      <x:c r="H50" s="16" t="n">
        <x:v>18228.92</x:v>
      </x:c>
      <x:c r="I50" s="16" t="n">
        <x:v>46524.68</x:v>
      </x:c>
      <x:c r="J50" s="16" t="n">
        <x:v>47000</x:v>
      </x:c>
      <x:c r="K50" s="14" t="str">
        <x:v>2026-12-28</x:v>
      </x:c>
      <x:c r="L50" s="14" t="n">
        <x:v>0</x:v>
      </x:c>
      <x:c r="M50" s="14" t="n">
        <x:v>0</x:v>
      </x:c>
      <x:c r="N50" s="16" t="n">
        <x:v>47000</x:v>
      </x:c>
      <x:c r="O50" s="16" t="n">
        <x:v>18704.24</x:v>
      </x:c>
      <x:c r="P50" s="16" t="n">
        <x:v>-399295.76</x:v>
      </x:c>
      <x:c r="Q50" s="16" t="n">
        <x:v>399295.76</x:v>
      </x:c>
      <x:c r="R50" s="14" t="n">
        <x:v>1</x:v>
      </x:c>
      <x:c r="S50" s="16" t="n">
        <x:v>18704.24</x:v>
      </x:c>
      <x:c r="T50" s="16" t="n">
        <x:v>0</x:v>
      </x:c>
      <x:c r="U50" s="14" t="n">
        <x:v>0</x:v>
      </x:c>
      <x:c r="V50" s="18" t="n">
        <x:v>0.004</x:v>
      </x:c>
      <x:c r="W50" s="18" t="n">
        <x:v>188</x:v>
      </x:c>
      <x:c r="X50" s="14" t="str">
        <x:v>Simulated / illustrative</x:v>
      </x:c>
      <x:c r="Y50" t="n">
        <x:f>ROUND(E50+G50+J50-F50-O50,2)</x:f>
        <x:v>0</x:v>
      </x:c>
    </x:row>
    <x:row r="51" ht="19" customHeight="1">
      <x:c r="A51" s="14" t="str">
        <x:v>water</x:v>
      </x:c>
      <x:c r="B51" s="14" t="str">
        <x:v>Mixing water</x:v>
      </x:c>
      <x:c r="C51" s="14" t="n">
        <x:v>9</x:v>
      </x:c>
      <x:c r="D51" s="14" t="str">
        <x:v>2027-01-04</x:v>
      </x:c>
      <x:c r="E51" s="16" t="n">
        <x:v>18704.24</x:v>
      </x:c>
      <x:c r="F51" s="16" t="n">
        <x:v>46848.45</x:v>
      </x:c>
      <x:c r="G51" s="16" t="n">
        <x:v>0</x:v>
      </x:c>
      <x:c r="H51" s="16" t="n">
        <x:v>18228.92</x:v>
      </x:c>
      <x:c r="I51" s="16" t="n">
        <x:v>46373.13</x:v>
      </x:c>
      <x:c r="J51" s="16" t="n">
        <x:v>47000</x:v>
      </x:c>
      <x:c r="K51" s="14" t="str">
        <x:v>2027-01-04</x:v>
      </x:c>
      <x:c r="L51" s="14" t="n">
        <x:v>0</x:v>
      </x:c>
      <x:c r="M51" s="14" t="n">
        <x:v>0</x:v>
      </x:c>
      <x:c r="N51" s="16" t="n">
        <x:v>47000</x:v>
      </x:c>
      <x:c r="O51" s="16" t="n">
        <x:v>18855.79</x:v>
      </x:c>
      <x:c r="P51" s="16" t="n">
        <x:v>-446144.21</x:v>
      </x:c>
      <x:c r="Q51" s="16" t="n">
        <x:v>446144.21</x:v>
      </x:c>
      <x:c r="R51" s="14" t="n">
        <x:v>1</x:v>
      </x:c>
      <x:c r="S51" s="16" t="n">
        <x:v>18855.79</x:v>
      </x:c>
      <x:c r="T51" s="16" t="n">
        <x:v>0</x:v>
      </x:c>
      <x:c r="U51" s="14" t="n">
        <x:v>0</x:v>
      </x:c>
      <x:c r="V51" s="18" t="n">
        <x:v>0.004</x:v>
      </x:c>
      <x:c r="W51" s="18" t="n">
        <x:v>188</x:v>
      </x:c>
      <x:c r="X51" s="14" t="str">
        <x:v>Simulated / illustrative</x:v>
      </x:c>
      <x:c r="Y51" t="n">
        <x:f>ROUND(E51+G51+J51-F51-O51,2)</x:f>
        <x:v>0</x:v>
      </x:c>
    </x:row>
    <x:row r="52" ht="19" customHeight="1">
      <x:c r="A52" s="14" t="str">
        <x:v>water</x:v>
      </x:c>
      <x:c r="B52" s="14" t="str">
        <x:v>Mixing water</x:v>
      </x:c>
      <x:c r="C52" s="14" t="n">
        <x:v>10</x:v>
      </x:c>
      <x:c r="D52" s="14" t="str">
        <x:v>2027-01-11</x:v>
      </x:c>
      <x:c r="E52" s="16" t="n">
        <x:v>18855.79</x:v>
      </x:c>
      <x:c r="F52" s="16" t="n">
        <x:v>50685.15</x:v>
      </x:c>
      <x:c r="G52" s="16" t="n">
        <x:v>0</x:v>
      </x:c>
      <x:c r="H52" s="16" t="n">
        <x:v>18228.92</x:v>
      </x:c>
      <x:c r="I52" s="16" t="n">
        <x:v>50058.28</x:v>
      </x:c>
      <x:c r="J52" s="16" t="n">
        <x:v>51000</x:v>
      </x:c>
      <x:c r="K52" s="14" t="str">
        <x:v>2027-01-11</x:v>
      </x:c>
      <x:c r="L52" s="14" t="n">
        <x:v>0</x:v>
      </x:c>
      <x:c r="M52" s="14" t="n">
        <x:v>0</x:v>
      </x:c>
      <x:c r="N52" s="16" t="n">
        <x:v>51000</x:v>
      </x:c>
      <x:c r="O52" s="16" t="n">
        <x:v>19170.64</x:v>
      </x:c>
      <x:c r="P52" s="16" t="n">
        <x:v>-496829.36</x:v>
      </x:c>
      <x:c r="Q52" s="16" t="n">
        <x:v>496829.36</x:v>
      </x:c>
      <x:c r="R52" s="14" t="n">
        <x:v>1</x:v>
      </x:c>
      <x:c r="S52" s="16" t="n">
        <x:v>19170.64</x:v>
      </x:c>
      <x:c r="T52" s="16" t="n">
        <x:v>0</x:v>
      </x:c>
      <x:c r="U52" s="14" t="n">
        <x:v>0</x:v>
      </x:c>
      <x:c r="V52" s="18" t="n">
        <x:v>0.004</x:v>
      </x:c>
      <x:c r="W52" s="18" t="n">
        <x:v>204</x:v>
      </x:c>
      <x:c r="X52" s="14" t="str">
        <x:v>Simulated / illustrative</x:v>
      </x:c>
      <x:c r="Y52" t="n">
        <x:f>ROUND(E52+G52+J52-F52-O52,2)</x:f>
        <x:v>0</x:v>
      </x:c>
    </x:row>
    <x:row r="53" ht="19" customHeight="1">
      <x:c r="A53" s="14" t="str">
        <x:v>water</x:v>
      </x:c>
      <x:c r="B53" s="14" t="str">
        <x:v>Mixing water</x:v>
      </x:c>
      <x:c r="C53" s="14" t="n">
        <x:v>11</x:v>
      </x:c>
      <x:c r="D53" s="14" t="str">
        <x:v>2027-01-18</x:v>
      </x:c>
      <x:c r="E53" s="16" t="n">
        <x:v>19170.64</x:v>
      </x:c>
      <x:c r="F53" s="16" t="n">
        <x:v>47434.2</x:v>
      </x:c>
      <x:c r="G53" s="16" t="n">
        <x:v>0</x:v>
      </x:c>
      <x:c r="H53" s="16" t="n">
        <x:v>18228.92</x:v>
      </x:c>
      <x:c r="I53" s="16" t="n">
        <x:v>46492.48</x:v>
      </x:c>
      <x:c r="J53" s="16" t="n">
        <x:v>47000</x:v>
      </x:c>
      <x:c r="K53" s="14" t="str">
        <x:v>2027-01-18</x:v>
      </x:c>
      <x:c r="L53" s="14" t="n">
        <x:v>0</x:v>
      </x:c>
      <x:c r="M53" s="14" t="n">
        <x:v>0</x:v>
      </x:c>
      <x:c r="N53" s="16" t="n">
        <x:v>47000</x:v>
      </x:c>
      <x:c r="O53" s="16" t="n">
        <x:v>18736.44</x:v>
      </x:c>
      <x:c r="P53" s="16" t="n">
        <x:v>-544263.56</x:v>
      </x:c>
      <x:c r="Q53" s="16" t="n">
        <x:v>544263.56</x:v>
      </x:c>
      <x:c r="R53" s="14" t="n">
        <x:v>1</x:v>
      </x:c>
      <x:c r="S53" s="16" t="n">
        <x:v>18736.44</x:v>
      </x:c>
      <x:c r="T53" s="16" t="n">
        <x:v>0</x:v>
      </x:c>
      <x:c r="U53" s="14" t="n">
        <x:v>0</x:v>
      </x:c>
      <x:c r="V53" s="18" t="n">
        <x:v>0.004</x:v>
      </x:c>
      <x:c r="W53" s="18" t="n">
        <x:v>188</x:v>
      </x:c>
      <x:c r="X53" s="14" t="str">
        <x:v>Simulated / illustrative</x:v>
      </x:c>
      <x:c r="Y53" t="n">
        <x:f>ROUND(E53+G53+J53-F53-O53,2)</x:f>
        <x:v>0</x:v>
      </x:c>
    </x:row>
    <x:row r="54" ht="19" customHeight="1">
      <x:c r="A54" s="14" t="str">
        <x:v>superplastic</x:v>
      </x:c>
      <x:c r="B54" s="14" t="str">
        <x:v>Superplasticizer</x:v>
      </x:c>
      <x:c r="C54" s="14" t="n">
        <x:v>0</x:v>
      </x:c>
      <x:c r="D54" s="14" t="str">
        <x:v>2026-11-02</x:v>
      </x:c>
      <x:c r="E54" s="16" t="n">
        <x:v>179.41</x:v>
      </x:c>
      <x:c r="F54" s="16" t="n">
        <x:v>306.82</x:v>
      </x:c>
      <x:c r="G54" s="16" t="n">
        <x:v>0</x:v>
      </x:c>
      <x:c r="H54" s="16" t="n">
        <x:v>99.67</x:v>
      </x:c>
      <x:c r="I54" s="16" t="n">
        <x:v>227.08</x:v>
      </x:c>
      <x:c r="J54" s="16" t="n">
        <x:v>500</x:v>
      </x:c>
      <x:c r="K54" s="14" t="str">
        <x:v>2026-10-12</x:v>
      </x:c>
      <x:c r="L54" s="14" t="n">
        <x:v>3</x:v>
      </x:c>
      <x:c r="M54" s="14" t="n">
        <x:v>1</x:v>
      </x:c>
      <x:c r="N54" s="16" t="n">
        <x:v>0</x:v>
      </x:c>
      <x:c r="O54" s="16" t="n">
        <x:v>372.59</x:v>
      </x:c>
      <x:c r="P54" s="16" t="n">
        <x:v>-127.41</x:v>
      </x:c>
      <x:c r="Q54" s="16" t="n">
        <x:v>127.41</x:v>
      </x:c>
      <x:c r="R54" s="14" t="n">
        <x:v>1</x:v>
      </x:c>
      <x:c r="S54" s="16" t="n">
        <x:v>-127.41</x:v>
      </x:c>
      <x:c r="T54" s="16" t="n">
        <x:v>127.41</x:v>
      </x:c>
      <x:c r="U54" s="14" t="n">
        <x:v>1</x:v>
      </x:c>
      <x:c r="V54" s="18" t="n">
        <x:v>2.35</x:v>
      </x:c>
      <x:c r="W54" s="18" t="n">
        <x:v>1175</x:v>
      </x:c>
      <x:c r="X54" s="14" t="str">
        <x:v>Simulated / illustrative</x:v>
      </x:c>
      <x:c r="Y54" t="n">
        <x:f>ROUND(E54+G54+J54-F54-O54,2)</x:f>
        <x:v>0</x:v>
      </x:c>
    </x:row>
    <x:row r="55" ht="19" customHeight="1">
      <x:c r="A55" s="14" t="str">
        <x:v>superplastic</x:v>
      </x:c>
      <x:c r="B55" s="14" t="str">
        <x:v>Superplasticizer</x:v>
      </x:c>
      <x:c r="C55" s="14" t="n">
        <x:v>1</x:v>
      </x:c>
      <x:c r="D55" s="14" t="str">
        <x:v>2026-11-09</x:v>
      </x:c>
      <x:c r="E55" s="16" t="n">
        <x:v>372.59</x:v>
      </x:c>
      <x:c r="F55" s="16" t="n">
        <x:v>326.14</x:v>
      </x:c>
      <x:c r="G55" s="16" t="n">
        <x:v>0</x:v>
      </x:c>
      <x:c r="H55" s="16" t="n">
        <x:v>99.67</x:v>
      </x:c>
      <x:c r="I55" s="16" t="n">
        <x:v>53.22</x:v>
      </x:c>
      <x:c r="J55" s="16" t="n">
        <x:v>500</x:v>
      </x:c>
      <x:c r="K55" s="14" t="str">
        <x:v>2026-10-19</x:v>
      </x:c>
      <x:c r="L55" s="14" t="n">
        <x:v>3</x:v>
      </x:c>
      <x:c r="M55" s="14" t="n">
        <x:v>1</x:v>
      </x:c>
      <x:c r="N55" s="16" t="n">
        <x:v>0</x:v>
      </x:c>
      <x:c r="O55" s="16" t="n">
        <x:v>546.45</x:v>
      </x:c>
      <x:c r="P55" s="16" t="n">
        <x:v>-453.55</x:v>
      </x:c>
      <x:c r="Q55" s="16" t="n">
        <x:v>453.55</x:v>
      </x:c>
      <x:c r="R55" s="14" t="n">
        <x:v>1</x:v>
      </x:c>
      <x:c r="S55" s="16" t="n">
        <x:v>-453.55</x:v>
      </x:c>
      <x:c r="T55" s="16" t="n">
        <x:v>453.55</x:v>
      </x:c>
      <x:c r="U55" s="14" t="n">
        <x:v>1</x:v>
      </x:c>
      <x:c r="V55" s="18" t="n">
        <x:v>2.35</x:v>
      </x:c>
      <x:c r="W55" s="18" t="n">
        <x:v>1175</x:v>
      </x:c>
      <x:c r="X55" s="14" t="str">
        <x:v>Simulated / illustrative</x:v>
      </x:c>
      <x:c r="Y55" t="n">
        <x:f>ROUND(E55+G55+J55-F55-O55,2)</x:f>
        <x:v>0</x:v>
      </x:c>
    </x:row>
    <x:row r="56" ht="19" customHeight="1">
      <x:c r="A56" s="14" t="str">
        <x:v>superplastic</x:v>
      </x:c>
      <x:c r="B56" s="14" t="str">
        <x:v>Superplasticizer</x:v>
      </x:c>
      <x:c r="C56" s="14" t="n">
        <x:v>2</x:v>
      </x:c>
      <x:c r="D56" s="14" t="str">
        <x:v>2026-11-16</x:v>
      </x:c>
      <x:c r="E56" s="16" t="n">
        <x:v>546.45</x:v>
      </x:c>
      <x:c r="F56" s="16" t="n">
        <x:v>308.66</x:v>
      </x:c>
      <x:c r="G56" s="16" t="n">
        <x:v>176.56</x:v>
      </x:c>
      <x:c r="H56" s="16" t="n">
        <x:v>99.67</x:v>
      </x:c>
      <x:c r="I56" s="16" t="n">
        <x:v>0</x:v>
      </x:c>
      <x:c r="J56" s="16" t="n">
        <x:v>0</x:v>
      </x:c>
      <x:c r="K56" s="14"/>
      <x:c r="L56" s="14" t="n">
        <x:v>3</x:v>
      </x:c>
      <x:c r="M56" s="14" t="n">
        <x:v>0</x:v>
      </x:c>
      <x:c r="N56" s="16" t="n">
        <x:v>1000</x:v>
      </x:c>
      <x:c r="O56" s="16" t="n">
        <x:v>414.35</x:v>
      </x:c>
      <x:c r="P56" s="16" t="n">
        <x:v>-585.65</x:v>
      </x:c>
      <x:c r="Q56" s="16" t="n">
        <x:v>585.65</x:v>
      </x:c>
      <x:c r="R56" s="14" t="n">
        <x:v>1</x:v>
      </x:c>
      <x:c r="S56" s="16" t="n">
        <x:v>414.35</x:v>
      </x:c>
      <x:c r="T56" s="16" t="n">
        <x:v>0</x:v>
      </x:c>
      <x:c r="U56" s="14" t="n">
        <x:v>0</x:v>
      </x:c>
      <x:c r="V56" s="18" t="n">
        <x:v>2.35</x:v>
      </x:c>
      <x:c r="W56" s="18" t="n">
        <x:v>0</x:v>
      </x:c>
      <x:c r="X56" s="14" t="str">
        <x:v>Simulated / illustrative</x:v>
      </x:c>
      <x:c r="Y56" t="n">
        <x:f>ROUND(E56+G56+J56-F56-O56,2)</x:f>
        <x:v>0</x:v>
      </x:c>
    </x:row>
    <x:row r="57" ht="19" customHeight="1">
      <x:c r="A57" s="14" t="str">
        <x:v>superplastic</x:v>
      </x:c>
      <x:c r="B57" s="14" t="str">
        <x:v>Superplasticizer</x:v>
      </x:c>
      <x:c r="C57" s="14" t="n">
        <x:v>3</x:v>
      </x:c>
      <x:c r="D57" s="14" t="str">
        <x:v>2026-11-23</x:v>
      </x:c>
      <x:c r="E57" s="16" t="n">
        <x:v>414.35</x:v>
      </x:c>
      <x:c r="F57" s="16" t="n">
        <x:v>295.32</x:v>
      </x:c>
      <x:c r="G57" s="16" t="n">
        <x:v>0</x:v>
      </x:c>
      <x:c r="H57" s="16" t="n">
        <x:v>99.67</x:v>
      </x:c>
      <x:c r="I57" s="16" t="n">
        <x:v>0</x:v>
      </x:c>
      <x:c r="J57" s="16" t="n">
        <x:v>0</x:v>
      </x:c>
      <x:c r="K57" s="14"/>
      <x:c r="L57" s="14" t="n">
        <x:v>3</x:v>
      </x:c>
      <x:c r="M57" s="14" t="n">
        <x:v>0</x:v>
      </x:c>
      <x:c r="N57" s="16" t="n">
        <x:v>0</x:v>
      </x:c>
      <x:c r="O57" s="16" t="n">
        <x:v>119.03</x:v>
      </x:c>
      <x:c r="P57" s="16" t="n">
        <x:v>-880.97</x:v>
      </x:c>
      <x:c r="Q57" s="16" t="n">
        <x:v>880.97</x:v>
      </x:c>
      <x:c r="R57" s="14" t="n">
        <x:v>1</x:v>
      </x:c>
      <x:c r="S57" s="16" t="n">
        <x:v>119.03</x:v>
      </x:c>
      <x:c r="T57" s="16" t="n">
        <x:v>0</x:v>
      </x:c>
      <x:c r="U57" s="14" t="n">
        <x:v>0</x:v>
      </x:c>
      <x:c r="V57" s="18" t="n">
        <x:v>2.35</x:v>
      </x:c>
      <x:c r="W57" s="18" t="n">
        <x:v>0</x:v>
      </x:c>
      <x:c r="X57" s="14" t="str">
        <x:v>Simulated / illustrative</x:v>
      </x:c>
      <x:c r="Y57" t="n">
        <x:f>ROUND(E57+G57+J57-F57-O57,2)</x:f>
        <x:v>0</x:v>
      </x:c>
    </x:row>
    <x:row r="58" ht="19" customHeight="1">
      <x:c r="A58" s="14" t="str">
        <x:v>superplastic</x:v>
      </x:c>
      <x:c r="B58" s="14" t="str">
        <x:v>Superplasticizer</x:v>
      </x:c>
      <x:c r="C58" s="14" t="n">
        <x:v>4</x:v>
      </x:c>
      <x:c r="D58" s="14" t="str">
        <x:v>2026-11-30</x:v>
      </x:c>
      <x:c r="E58" s="16" t="n">
        <x:v>119.03</x:v>
      </x:c>
      <x:c r="F58" s="16" t="n">
        <x:v>301.3</x:v>
      </x:c>
      <x:c r="G58" s="16" t="n">
        <x:v>0</x:v>
      </x:c>
      <x:c r="H58" s="16" t="n">
        <x:v>99.67</x:v>
      </x:c>
      <x:c r="I58" s="16" t="n">
        <x:v>281.94</x:v>
      </x:c>
      <x:c r="J58" s="16" t="n">
        <x:v>500</x:v>
      </x:c>
      <x:c r="K58" s="14" t="str">
        <x:v>2026-11-09</x:v>
      </x:c>
      <x:c r="L58" s="14" t="n">
        <x:v>3</x:v>
      </x:c>
      <x:c r="M58" s="14" t="n">
        <x:v>0</x:v>
      </x:c>
      <x:c r="N58" s="16" t="n">
        <x:v>500</x:v>
      </x:c>
      <x:c r="O58" s="16" t="n">
        <x:v>317.73</x:v>
      </x:c>
      <x:c r="P58" s="16" t="n">
        <x:v>-1182.27</x:v>
      </x:c>
      <x:c r="Q58" s="16" t="n">
        <x:v>1182.27</x:v>
      </x:c>
      <x:c r="R58" s="14" t="n">
        <x:v>1</x:v>
      </x:c>
      <x:c r="S58" s="16" t="n">
        <x:v>317.73</x:v>
      </x:c>
      <x:c r="T58" s="16" t="n">
        <x:v>0</x:v>
      </x:c>
      <x:c r="U58" s="14" t="n">
        <x:v>0</x:v>
      </x:c>
      <x:c r="V58" s="18" t="n">
        <x:v>2.35</x:v>
      </x:c>
      <x:c r="W58" s="18" t="n">
        <x:v>1175</x:v>
      </x:c>
      <x:c r="X58" s="14" t="str">
        <x:v>Simulated / illustrative</x:v>
      </x:c>
      <x:c r="Y58" t="n">
        <x:f>ROUND(E58+G58+J58-F58-O58,2)</x:f>
        <x:v>0</x:v>
      </x:c>
    </x:row>
    <x:row r="59" ht="19" customHeight="1">
      <x:c r="A59" s="14" t="str">
        <x:v>superplastic</x:v>
      </x:c>
      <x:c r="B59" s="14" t="str">
        <x:v>Superplasticizer</x:v>
      </x:c>
      <x:c r="C59" s="14" t="n">
        <x:v>5</x:v>
      </x:c>
      <x:c r="D59" s="14" t="str">
        <x:v>2026-12-07</x:v>
      </x:c>
      <x:c r="E59" s="16" t="n">
        <x:v>317.73</x:v>
      </x:c>
      <x:c r="F59" s="16" t="n">
        <x:v>308.66</x:v>
      </x:c>
      <x:c r="G59" s="16" t="n">
        <x:v>0</x:v>
      </x:c>
      <x:c r="H59" s="16" t="n">
        <x:v>99.67</x:v>
      </x:c>
      <x:c r="I59" s="16" t="n">
        <x:v>90.6</x:v>
      </x:c>
      <x:c r="J59" s="16" t="n">
        <x:v>500</x:v>
      </x:c>
      <x:c r="K59" s="14" t="str">
        <x:v>2026-11-16</x:v>
      </x:c>
      <x:c r="L59" s="14" t="n">
        <x:v>3</x:v>
      </x:c>
      <x:c r="M59" s="14" t="n">
        <x:v>0</x:v>
      </x:c>
      <x:c r="N59" s="16" t="n">
        <x:v>500</x:v>
      </x:c>
      <x:c r="O59" s="16" t="n">
        <x:v>509.07</x:v>
      </x:c>
      <x:c r="P59" s="16" t="n">
        <x:v>-1490.93</x:v>
      </x:c>
      <x:c r="Q59" s="16" t="n">
        <x:v>1490.93</x:v>
      </x:c>
      <x:c r="R59" s="14" t="n">
        <x:v>1</x:v>
      </x:c>
      <x:c r="S59" s="16" t="n">
        <x:v>509.07</x:v>
      </x:c>
      <x:c r="T59" s="16" t="n">
        <x:v>0</x:v>
      </x:c>
      <x:c r="U59" s="14" t="n">
        <x:v>0</x:v>
      </x:c>
      <x:c r="V59" s="18" t="n">
        <x:v>2.35</x:v>
      </x:c>
      <x:c r="W59" s="18" t="n">
        <x:v>1175</x:v>
      </x:c>
      <x:c r="X59" s="14" t="str">
        <x:v>Simulated / illustrative</x:v>
      </x:c>
      <x:c r="Y59" t="n">
        <x:f>ROUND(E59+G59+J59-F59-O59,2)</x:f>
        <x:v>0</x:v>
      </x:c>
    </x:row>
    <x:row r="60" ht="19" customHeight="1">
      <x:c r="A60" s="14" t="str">
        <x:v>superplastic</x:v>
      </x:c>
      <x:c r="B60" s="14" t="str">
        <x:v>Superplasticizer</x:v>
      </x:c>
      <x:c r="C60" s="14" t="n">
        <x:v>6</x:v>
      </x:c>
      <x:c r="D60" s="14" t="str">
        <x:v>2026-12-14</x:v>
      </x:c>
      <x:c r="E60" s="16" t="n">
        <x:v>509.07</x:v>
      </x:c>
      <x:c r="F60" s="16" t="n">
        <x:v>245.18</x:v>
      </x:c>
      <x:c r="G60" s="16" t="n">
        <x:v>0</x:v>
      </x:c>
      <x:c r="H60" s="16" t="n">
        <x:v>99.67</x:v>
      </x:c>
      <x:c r="I60" s="16" t="n">
        <x:v>0</x:v>
      </x:c>
      <x:c r="J60" s="16" t="n">
        <x:v>0</x:v>
      </x:c>
      <x:c r="K60" s="14"/>
      <x:c r="L60" s="14" t="n">
        <x:v>3</x:v>
      </x:c>
      <x:c r="M60" s="14" t="n">
        <x:v>0</x:v>
      </x:c>
      <x:c r="N60" s="16" t="n">
        <x:v>0</x:v>
      </x:c>
      <x:c r="O60" s="16" t="n">
        <x:v>263.89</x:v>
      </x:c>
      <x:c r="P60" s="16" t="n">
        <x:v>-1736.11</x:v>
      </x:c>
      <x:c r="Q60" s="16" t="n">
        <x:v>1736.11</x:v>
      </x:c>
      <x:c r="R60" s="14" t="n">
        <x:v>1</x:v>
      </x:c>
      <x:c r="S60" s="16" t="n">
        <x:v>263.89</x:v>
      </x:c>
      <x:c r="T60" s="16" t="n">
        <x:v>0</x:v>
      </x:c>
      <x:c r="U60" s="14" t="n">
        <x:v>0</x:v>
      </x:c>
      <x:c r="V60" s="18" t="n">
        <x:v>2.35</x:v>
      </x:c>
      <x:c r="W60" s="18" t="n">
        <x:v>0</x:v>
      </x:c>
      <x:c r="X60" s="14" t="str">
        <x:v>Simulated / illustrative</x:v>
      </x:c>
      <x:c r="Y60" t="n">
        <x:f>ROUND(E60+G60+J60-F60-O60,2)</x:f>
        <x:v>0</x:v>
      </x:c>
    </x:row>
    <x:row r="61" ht="19" customHeight="1">
      <x:c r="A61" s="14" t="str">
        <x:v>superplastic</x:v>
      </x:c>
      <x:c r="B61" s="14" t="str">
        <x:v>Superplasticizer</x:v>
      </x:c>
      <x:c r="C61" s="14" t="n">
        <x:v>7</x:v>
      </x:c>
      <x:c r="D61" s="14" t="str">
        <x:v>2026-12-21</x:v>
      </x:c>
      <x:c r="E61" s="16" t="n">
        <x:v>263.89</x:v>
      </x:c>
      <x:c r="F61" s="16" t="n">
        <x:v>278.3</x:v>
      </x:c>
      <x:c r="G61" s="16" t="n">
        <x:v>0</x:v>
      </x:c>
      <x:c r="H61" s="16" t="n">
        <x:v>99.67</x:v>
      </x:c>
      <x:c r="I61" s="16" t="n">
        <x:v>114.08</x:v>
      </x:c>
      <x:c r="J61" s="16" t="n">
        <x:v>500</x:v>
      </x:c>
      <x:c r="K61" s="14" t="str">
        <x:v>2026-11-30</x:v>
      </x:c>
      <x:c r="L61" s="14" t="n">
        <x:v>3</x:v>
      </x:c>
      <x:c r="M61" s="14" t="n">
        <x:v>0</x:v>
      </x:c>
      <x:c r="N61" s="16" t="n">
        <x:v>500</x:v>
      </x:c>
      <x:c r="O61" s="16" t="n">
        <x:v>485.59</x:v>
      </x:c>
      <x:c r="P61" s="16" t="n">
        <x:v>-2014.41</x:v>
      </x:c>
      <x:c r="Q61" s="16" t="n">
        <x:v>2014.41</x:v>
      </x:c>
      <x:c r="R61" s="14" t="n">
        <x:v>1</x:v>
      </x:c>
      <x:c r="S61" s="16" t="n">
        <x:v>485.59</x:v>
      </x:c>
      <x:c r="T61" s="16" t="n">
        <x:v>0</x:v>
      </x:c>
      <x:c r="U61" s="14" t="n">
        <x:v>0</x:v>
      </x:c>
      <x:c r="V61" s="18" t="n">
        <x:v>2.35</x:v>
      </x:c>
      <x:c r="W61" s="18" t="n">
        <x:v>1175</x:v>
      </x:c>
      <x:c r="X61" s="14" t="str">
        <x:v>Simulated / illustrative</x:v>
      </x:c>
      <x:c r="Y61" t="n">
        <x:f>ROUND(E61+G61+J61-F61-O61,2)</x:f>
        <x:v>0</x:v>
      </x:c>
    </x:row>
    <x:row r="62" ht="19" customHeight="1">
      <x:c r="A62" s="14" t="str">
        <x:v>superplastic</x:v>
      </x:c>
      <x:c r="B62" s="14" t="str">
        <x:v>Superplasticizer</x:v>
      </x:c>
      <x:c r="C62" s="14" t="n">
        <x:v>8</x:v>
      </x:c>
      <x:c r="D62" s="14" t="str">
        <x:v>2026-12-28</x:v>
      </x:c>
      <x:c r="E62" s="16" t="n">
        <x:v>485.59</x:v>
      </x:c>
      <x:c r="F62" s="16" t="n">
        <x:v>250.24</x:v>
      </x:c>
      <x:c r="G62" s="16" t="n">
        <x:v>0</x:v>
      </x:c>
      <x:c r="H62" s="16" t="n">
        <x:v>99.67</x:v>
      </x:c>
      <x:c r="I62" s="16" t="n">
        <x:v>0</x:v>
      </x:c>
      <x:c r="J62" s="16" t="n">
        <x:v>0</x:v>
      </x:c>
      <x:c r="K62" s="14"/>
      <x:c r="L62" s="14" t="n">
        <x:v>3</x:v>
      </x:c>
      <x:c r="M62" s="14" t="n">
        <x:v>0</x:v>
      </x:c>
      <x:c r="N62" s="16" t="n">
        <x:v>0</x:v>
      </x:c>
      <x:c r="O62" s="16" t="n">
        <x:v>235.35</x:v>
      </x:c>
      <x:c r="P62" s="16" t="n">
        <x:v>-2264.65</x:v>
      </x:c>
      <x:c r="Q62" s="16" t="n">
        <x:v>2264.65</x:v>
      </x:c>
      <x:c r="R62" s="14" t="n">
        <x:v>1</x:v>
      </x:c>
      <x:c r="S62" s="16" t="n">
        <x:v>235.35</x:v>
      </x:c>
      <x:c r="T62" s="16" t="n">
        <x:v>0</x:v>
      </x:c>
      <x:c r="U62" s="14" t="n">
        <x:v>0</x:v>
      </x:c>
      <x:c r="V62" s="18" t="n">
        <x:v>2.35</x:v>
      </x:c>
      <x:c r="W62" s="18" t="n">
        <x:v>0</x:v>
      </x:c>
      <x:c r="X62" s="14" t="str">
        <x:v>Simulated / illustrative</x:v>
      </x:c>
      <x:c r="Y62" t="n">
        <x:f>ROUND(E62+G62+J62-F62-O62,2)</x:f>
        <x:v>0</x:v>
      </x:c>
    </x:row>
    <x:row r="63" ht="19" customHeight="1">
      <x:c r="A63" s="14" t="str">
        <x:v>superplastic</x:v>
      </x:c>
      <x:c r="B63" s="14" t="str">
        <x:v>Superplasticizer</x:v>
      </x:c>
      <x:c r="C63" s="14" t="n">
        <x:v>9</x:v>
      </x:c>
      <x:c r="D63" s="14" t="str">
        <x:v>2027-01-04</x:v>
      </x:c>
      <x:c r="E63" s="16" t="n">
        <x:v>235.35</x:v>
      </x:c>
      <x:c r="F63" s="16" t="n">
        <x:v>230.46</x:v>
      </x:c>
      <x:c r="G63" s="16" t="n">
        <x:v>0</x:v>
      </x:c>
      <x:c r="H63" s="16" t="n">
        <x:v>99.67</x:v>
      </x:c>
      <x:c r="I63" s="16" t="n">
        <x:v>94.78</x:v>
      </x:c>
      <x:c r="J63" s="16" t="n">
        <x:v>500</x:v>
      </x:c>
      <x:c r="K63" s="14" t="str">
        <x:v>2026-12-14</x:v>
      </x:c>
      <x:c r="L63" s="14" t="n">
        <x:v>3</x:v>
      </x:c>
      <x:c r="M63" s="14" t="n">
        <x:v>0</x:v>
      </x:c>
      <x:c r="N63" s="16" t="n">
        <x:v>500</x:v>
      </x:c>
      <x:c r="O63" s="16" t="n">
        <x:v>504.89</x:v>
      </x:c>
      <x:c r="P63" s="16" t="n">
        <x:v>-2495.11</x:v>
      </x:c>
      <x:c r="Q63" s="16" t="n">
        <x:v>2495.11</x:v>
      </x:c>
      <x:c r="R63" s="14" t="n">
        <x:v>1</x:v>
      </x:c>
      <x:c r="S63" s="16" t="n">
        <x:v>504.89</x:v>
      </x:c>
      <x:c r="T63" s="16" t="n">
        <x:v>0</x:v>
      </x:c>
      <x:c r="U63" s="14" t="n">
        <x:v>0</x:v>
      </x:c>
      <x:c r="V63" s="18" t="n">
        <x:v>2.35</x:v>
      </x:c>
      <x:c r="W63" s="18" t="n">
        <x:v>1175</x:v>
      </x:c>
      <x:c r="X63" s="14" t="str">
        <x:v>Simulated / illustrative</x:v>
      </x:c>
      <x:c r="Y63" t="n">
        <x:f>ROUND(E63+G63+J63-F63-O63,2)</x:f>
        <x:v>0</x:v>
      </x:c>
    </x:row>
    <x:row r="64" ht="19" customHeight="1">
      <x:c r="A64" s="14" t="str">
        <x:v>superplastic</x:v>
      </x:c>
      <x:c r="B64" s="14" t="str">
        <x:v>Superplasticizer</x:v>
      </x:c>
      <x:c r="C64" s="14" t="n">
        <x:v>10</x:v>
      </x:c>
      <x:c r="D64" s="14" t="str">
        <x:v>2027-01-11</x:v>
      </x:c>
      <x:c r="E64" s="16" t="n">
        <x:v>504.89</x:v>
      </x:c>
      <x:c r="F64" s="16" t="n">
        <x:v>277.38</x:v>
      </x:c>
      <x:c r="G64" s="16" t="n">
        <x:v>0</x:v>
      </x:c>
      <x:c r="H64" s="16" t="n">
        <x:v>99.67</x:v>
      </x:c>
      <x:c r="I64" s="16" t="n">
        <x:v>0</x:v>
      </x:c>
      <x:c r="J64" s="16" t="n">
        <x:v>0</x:v>
      </x:c>
      <x:c r="K64" s="14"/>
      <x:c r="L64" s="14" t="n">
        <x:v>3</x:v>
      </x:c>
      <x:c r="M64" s="14" t="n">
        <x:v>0</x:v>
      </x:c>
      <x:c r="N64" s="16" t="n">
        <x:v>0</x:v>
      </x:c>
      <x:c r="O64" s="16" t="n">
        <x:v>227.51</x:v>
      </x:c>
      <x:c r="P64" s="16" t="n">
        <x:v>-2772.49</x:v>
      </x:c>
      <x:c r="Q64" s="16" t="n">
        <x:v>2772.49</x:v>
      </x:c>
      <x:c r="R64" s="14" t="n">
        <x:v>1</x:v>
      </x:c>
      <x:c r="S64" s="16" t="n">
        <x:v>227.51</x:v>
      </x:c>
      <x:c r="T64" s="16" t="n">
        <x:v>0</x:v>
      </x:c>
      <x:c r="U64" s="14" t="n">
        <x:v>0</x:v>
      </x:c>
      <x:c r="V64" s="18" t="n">
        <x:v>2.35</x:v>
      </x:c>
      <x:c r="W64" s="18" t="n">
        <x:v>0</x:v>
      </x:c>
      <x:c r="X64" s="14" t="str">
        <x:v>Simulated / illustrative</x:v>
      </x:c>
      <x:c r="Y64" t="n">
        <x:f>ROUND(E64+G64+J64-F64-O64,2)</x:f>
        <x:v>0</x:v>
      </x:c>
    </x:row>
    <x:row r="65" ht="19" customHeight="1">
      <x:c r="A65" s="14" t="str">
        <x:v>superplastic</x:v>
      </x:c>
      <x:c r="B65" s="14" t="str">
        <x:v>Superplasticizer</x:v>
      </x:c>
      <x:c r="C65" s="14" t="n">
        <x:v>11</x:v>
      </x:c>
      <x:c r="D65" s="14" t="str">
        <x:v>2027-01-18</x:v>
      </x:c>
      <x:c r="E65" s="16" t="n">
        <x:v>227.51</x:v>
      </x:c>
      <x:c r="F65" s="16" t="n">
        <x:v>288.88</x:v>
      </x:c>
      <x:c r="G65" s="16" t="n">
        <x:v>0</x:v>
      </x:c>
      <x:c r="H65" s="16" t="n">
        <x:v>99.67</x:v>
      </x:c>
      <x:c r="I65" s="16" t="n">
        <x:v>161.04</x:v>
      </x:c>
      <x:c r="J65" s="16" t="n">
        <x:v>500</x:v>
      </x:c>
      <x:c r="K65" s="14" t="str">
        <x:v>2026-12-28</x:v>
      </x:c>
      <x:c r="L65" s="14" t="n">
        <x:v>3</x:v>
      </x:c>
      <x:c r="M65" s="14" t="n">
        <x:v>0</x:v>
      </x:c>
      <x:c r="N65" s="16" t="n">
        <x:v>500</x:v>
      </x:c>
      <x:c r="O65" s="16" t="n">
        <x:v>438.63</x:v>
      </x:c>
      <x:c r="P65" s="16" t="n">
        <x:v>-3061.37</x:v>
      </x:c>
      <x:c r="Q65" s="16" t="n">
        <x:v>3061.37</x:v>
      </x:c>
      <x:c r="R65" s="14" t="n">
        <x:v>1</x:v>
      </x:c>
      <x:c r="S65" s="16" t="n">
        <x:v>438.63</x:v>
      </x:c>
      <x:c r="T65" s="16" t="n">
        <x:v>0</x:v>
      </x:c>
      <x:c r="U65" s="14" t="n">
        <x:v>0</x:v>
      </x:c>
      <x:c r="V65" s="18" t="n">
        <x:v>2.35</x:v>
      </x:c>
      <x:c r="W65" s="18" t="n">
        <x:v>1175</x:v>
      </x:c>
      <x:c r="X65" s="14" t="str">
        <x:v>Simulated / illustrative</x:v>
      </x:c>
      <x:c r="Y65" t="n">
        <x:f>ROUND(E65+G65+J65-F65-O65,2)</x:f>
        <x:v>0</x:v>
      </x:c>
    </x:row>
    <x:row r="66" ht="19" customHeight="1">
      <x:c r="A66" s="14" t="str">
        <x:v>coarseagg</x:v>
      </x:c>
      <x:c r="B66" s="14" t="str">
        <x:v>Coarse aggregate</x:v>
      </x:c>
      <x:c r="C66" s="14" t="n">
        <x:v>0</x:v>
      </x:c>
      <x:c r="D66" s="14" t="str">
        <x:v>2026-11-02</x:v>
      </x:c>
      <x:c r="E66" s="16" t="n">
        <x:v>204409.87</x:v>
      </x:c>
      <x:c r="F66" s="16" t="n">
        <x:v>230941.14</x:v>
      </x:c>
      <x:c r="G66" s="16" t="n">
        <x:v>0</x:v>
      </x:c>
      <x:c r="H66" s="16" t="n">
        <x:v>79492.73</x:v>
      </x:c>
      <x:c r="I66" s="16" t="n">
        <x:v>106024</x:v>
      </x:c>
      <x:c r="J66" s="16" t="n">
        <x:v>110000</x:v>
      </x:c>
      <x:c r="K66" s="14" t="str">
        <x:v>2026-10-26</x:v>
      </x:c>
      <x:c r="L66" s="14" t="n">
        <x:v>1</x:v>
      </x:c>
      <x:c r="M66" s="14" t="n">
        <x:v>0</x:v>
      </x:c>
      <x:c r="N66" s="16" t="n">
        <x:v>110000</x:v>
      </x:c>
      <x:c r="O66" s="16" t="n">
        <x:v>83468.73</x:v>
      </x:c>
      <x:c r="P66" s="16" t="n">
        <x:v>-26531.27</x:v>
      </x:c>
      <x:c r="Q66" s="16" t="n">
        <x:v>26531.27</x:v>
      </x:c>
      <x:c r="R66" s="14" t="n">
        <x:v>1</x:v>
      </x:c>
      <x:c r="S66" s="16" t="n">
        <x:v>83468.73</x:v>
      </x:c>
      <x:c r="T66" s="16" t="n">
        <x:v>0</x:v>
      </x:c>
      <x:c r="U66" s="14" t="n">
        <x:v>0</x:v>
      </x:c>
      <x:c r="V66" s="18" t="n">
        <x:v>0.027</x:v>
      </x:c>
      <x:c r="W66" s="18" t="n">
        <x:v>2970</x:v>
      </x:c>
      <x:c r="X66" s="14" t="str">
        <x:v>Simulated / illustrative</x:v>
      </x:c>
      <x:c r="Y66" t="n">
        <x:f>ROUND(E66+G66+J66-F66-O66,2)</x:f>
        <x:v>0</x:v>
      </x:c>
    </x:row>
    <x:row r="67" ht="19" customHeight="1">
      <x:c r="A67" s="14" t="str">
        <x:v>coarseagg</x:v>
      </x:c>
      <x:c r="B67" s="14" t="str">
        <x:v>Coarse aggregate</x:v>
      </x:c>
      <x:c r="C67" s="14" t="n">
        <x:v>1</x:v>
      </x:c>
      <x:c r="D67" s="14" t="str">
        <x:v>2026-11-09</x:v>
      </x:c>
      <x:c r="E67" s="16" t="n">
        <x:v>83468.73</x:v>
      </x:c>
      <x:c r="F67" s="16" t="n">
        <x:v>242820.94</x:v>
      </x:c>
      <x:c r="G67" s="16" t="n">
        <x:v>131730.8</x:v>
      </x:c>
      <x:c r="H67" s="16" t="n">
        <x:v>79492.73</x:v>
      </x:c>
      <x:c r="I67" s="16" t="n">
        <x:v>107114.14</x:v>
      </x:c>
      <x:c r="J67" s="16" t="n">
        <x:v>110000</x:v>
      </x:c>
      <x:c r="K67" s="14" t="str">
        <x:v>2026-11-02</x:v>
      </x:c>
      <x:c r="L67" s="14" t="n">
        <x:v>1</x:v>
      </x:c>
      <x:c r="M67" s="14" t="n">
        <x:v>0</x:v>
      </x:c>
      <x:c r="N67" s="16" t="n">
        <x:v>110000</x:v>
      </x:c>
      <x:c r="O67" s="16" t="n">
        <x:v>82378.59</x:v>
      </x:c>
      <x:c r="P67" s="16" t="n">
        <x:v>-137621.41</x:v>
      </x:c>
      <x:c r="Q67" s="16" t="n">
        <x:v>137621.41</x:v>
      </x:c>
      <x:c r="R67" s="14" t="n">
        <x:v>1</x:v>
      </x:c>
      <x:c r="S67" s="16" t="n">
        <x:v>82378.59</x:v>
      </x:c>
      <x:c r="T67" s="16" t="n">
        <x:v>0</x:v>
      </x:c>
      <x:c r="U67" s="14" t="n">
        <x:v>0</x:v>
      </x:c>
      <x:c r="V67" s="18" t="n">
        <x:v>0.027</x:v>
      </x:c>
      <x:c r="W67" s="18" t="n">
        <x:v>2970</x:v>
      </x:c>
      <x:c r="X67" s="14" t="str">
        <x:v>Simulated / illustrative</x:v>
      </x:c>
      <x:c r="Y67" t="n">
        <x:f>ROUND(E67+G67+J67-F67-O67,2)</x:f>
        <x:v>0</x:v>
      </x:c>
    </x:row>
    <x:row r="68" ht="19" customHeight="1">
      <x:c r="A68" s="14" t="str">
        <x:v>coarseagg</x:v>
      </x:c>
      <x:c r="B68" s="14" t="str">
        <x:v>Coarse aggregate</x:v>
      </x:c>
      <x:c r="C68" s="14" t="n">
        <x:v>2</x:v>
      </x:c>
      <x:c r="D68" s="14" t="str">
        <x:v>2026-11-16</x:v>
      </x:c>
      <x:c r="E68" s="16" t="n">
        <x:v>82378.59</x:v>
      </x:c>
      <x:c r="F68" s="16" t="n">
        <x:v>220861.78</x:v>
      </x:c>
      <x:c r="G68" s="16" t="n">
        <x:v>0</x:v>
      </x:c>
      <x:c r="H68" s="16" t="n">
        <x:v>79492.73</x:v>
      </x:c>
      <x:c r="I68" s="16" t="n">
        <x:v>217975.92</x:v>
      </x:c>
      <x:c r="J68" s="16" t="n">
        <x:v>220000</x:v>
      </x:c>
      <x:c r="K68" s="14" t="str">
        <x:v>2026-11-09</x:v>
      </x:c>
      <x:c r="L68" s="14" t="n">
        <x:v>1</x:v>
      </x:c>
      <x:c r="M68" s="14" t="n">
        <x:v>0</x:v>
      </x:c>
      <x:c r="N68" s="16" t="n">
        <x:v>220000</x:v>
      </x:c>
      <x:c r="O68" s="16" t="n">
        <x:v>81516.81</x:v>
      </x:c>
      <x:c r="P68" s="16" t="n">
        <x:v>-358483.19</x:v>
      </x:c>
      <x:c r="Q68" s="16" t="n">
        <x:v>358483.19</x:v>
      </x:c>
      <x:c r="R68" s="14" t="n">
        <x:v>1</x:v>
      </x:c>
      <x:c r="S68" s="16" t="n">
        <x:v>81516.81</x:v>
      </x:c>
      <x:c r="T68" s="16" t="n">
        <x:v>0</x:v>
      </x:c>
      <x:c r="U68" s="14" t="n">
        <x:v>0</x:v>
      </x:c>
      <x:c r="V68" s="18" t="n">
        <x:v>0.027</x:v>
      </x:c>
      <x:c r="W68" s="18" t="n">
        <x:v>5940</x:v>
      </x:c>
      <x:c r="X68" s="14" t="str">
        <x:v>Simulated / illustrative</x:v>
      </x:c>
      <x:c r="Y68" t="n">
        <x:f>ROUND(E68+G68+J68-F68-O68,2)</x:f>
        <x:v>0</x:v>
      </x:c>
    </x:row>
    <x:row r="69" ht="19" customHeight="1">
      <x:c r="A69" s="14" t="str">
        <x:v>coarseagg</x:v>
      </x:c>
      <x:c r="B69" s="14" t="str">
        <x:v>Coarse aggregate</x:v>
      </x:c>
      <x:c r="C69" s="14" t="n">
        <x:v>3</x:v>
      </x:c>
      <x:c r="D69" s="14" t="str">
        <x:v>2026-11-23</x:v>
      </x:c>
      <x:c r="E69" s="16" t="n">
        <x:v>81516.81</x:v>
      </x:c>
      <x:c r="F69" s="16" t="n">
        <x:v>255129.14</x:v>
      </x:c>
      <x:c r="G69" s="16" t="n">
        <x:v>0</x:v>
      </x:c>
      <x:c r="H69" s="16" t="n">
        <x:v>79492.73</x:v>
      </x:c>
      <x:c r="I69" s="16" t="n">
        <x:v>253105.06</x:v>
      </x:c>
      <x:c r="J69" s="16" t="n">
        <x:v>260000</x:v>
      </x:c>
      <x:c r="K69" s="14" t="str">
        <x:v>2026-11-16</x:v>
      </x:c>
      <x:c r="L69" s="14" t="n">
        <x:v>1</x:v>
      </x:c>
      <x:c r="M69" s="14" t="n">
        <x:v>0</x:v>
      </x:c>
      <x:c r="N69" s="16" t="n">
        <x:v>260000</x:v>
      </x:c>
      <x:c r="O69" s="16" t="n">
        <x:v>86387.67</x:v>
      </x:c>
      <x:c r="P69" s="16" t="n">
        <x:v>-613612.33</x:v>
      </x:c>
      <x:c r="Q69" s="16" t="n">
        <x:v>613612.33</x:v>
      </x:c>
      <x:c r="R69" s="14" t="n">
        <x:v>1</x:v>
      </x:c>
      <x:c r="S69" s="16" t="n">
        <x:v>86387.67</x:v>
      </x:c>
      <x:c r="T69" s="16" t="n">
        <x:v>0</x:v>
      </x:c>
      <x:c r="U69" s="14" t="n">
        <x:v>0</x:v>
      </x:c>
      <x:c r="V69" s="18" t="n">
        <x:v>0.027</x:v>
      </x:c>
      <x:c r="W69" s="18" t="n">
        <x:v>7020</x:v>
      </x:c>
      <x:c r="X69" s="14" t="str">
        <x:v>Simulated / illustrative</x:v>
      </x:c>
      <x:c r="Y69" t="n">
        <x:f>ROUND(E69+G69+J69-F69-O69,2)</x:f>
        <x:v>0</x:v>
      </x:c>
    </x:row>
    <x:row r="70" ht="19" customHeight="1">
      <x:c r="A70" s="14" t="str">
        <x:v>coarseagg</x:v>
      </x:c>
      <x:c r="B70" s="14" t="str">
        <x:v>Coarse aggregate</x:v>
      </x:c>
      <x:c r="C70" s="14" t="n">
        <x:v>4</x:v>
      </x:c>
      <x:c r="D70" s="14" t="str">
        <x:v>2026-11-30</x:v>
      </x:c>
      <x:c r="E70" s="16" t="n">
        <x:v>86387.67</x:v>
      </x:c>
      <x:c r="F70" s="16" t="n">
        <x:v>257420.86</x:v>
      </x:c>
      <x:c r="G70" s="16" t="n">
        <x:v>0</x:v>
      </x:c>
      <x:c r="H70" s="16" t="n">
        <x:v>79492.73</x:v>
      </x:c>
      <x:c r="I70" s="16" t="n">
        <x:v>250525.92</x:v>
      </x:c>
      <x:c r="J70" s="16" t="n">
        <x:v>260000</x:v>
      </x:c>
      <x:c r="K70" s="14" t="str">
        <x:v>2026-11-23</x:v>
      </x:c>
      <x:c r="L70" s="14" t="n">
        <x:v>1</x:v>
      </x:c>
      <x:c r="M70" s="14" t="n">
        <x:v>0</x:v>
      </x:c>
      <x:c r="N70" s="16" t="n">
        <x:v>260000</x:v>
      </x:c>
      <x:c r="O70" s="16" t="n">
        <x:v>88966.81</x:v>
      </x:c>
      <x:c r="P70" s="16" t="n">
        <x:v>-871033.19</x:v>
      </x:c>
      <x:c r="Q70" s="16" t="n">
        <x:v>871033.19</x:v>
      </x:c>
      <x:c r="R70" s="14" t="n">
        <x:v>1</x:v>
      </x:c>
      <x:c r="S70" s="16" t="n">
        <x:v>88966.81</x:v>
      </x:c>
      <x:c r="T70" s="16" t="n">
        <x:v>0</x:v>
      </x:c>
      <x:c r="U70" s="14" t="n">
        <x:v>0</x:v>
      </x:c>
      <x:c r="V70" s="18" t="n">
        <x:v>0.027</x:v>
      </x:c>
      <x:c r="W70" s="18" t="n">
        <x:v>7020</x:v>
      </x:c>
      <x:c r="X70" s="14" t="str">
        <x:v>Simulated / illustrative</x:v>
      </x:c>
      <x:c r="Y70" t="n">
        <x:f>ROUND(E70+G70+J70-F70-O70,2)</x:f>
        <x:v>0</x:v>
      </x:c>
    </x:row>
    <x:row r="71" ht="19" customHeight="1">
      <x:c r="A71" s="14" t="str">
        <x:v>coarseagg</x:v>
      </x:c>
      <x:c r="B71" s="14" t="str">
        <x:v>Coarse aggregate</x:v>
      </x:c>
      <x:c r="C71" s="14" t="n">
        <x:v>5</x:v>
      </x:c>
      <x:c r="D71" s="14" t="str">
        <x:v>2026-12-07</x:v>
      </x:c>
      <x:c r="E71" s="16" t="n">
        <x:v>88966.81</x:v>
      </x:c>
      <x:c r="F71" s="16" t="n">
        <x:v>232482.8</x:v>
      </x:c>
      <x:c r="G71" s="16" t="n">
        <x:v>0</x:v>
      </x:c>
      <x:c r="H71" s="16" t="n">
        <x:v>79492.73</x:v>
      </x:c>
      <x:c r="I71" s="16" t="n">
        <x:v>223008.72</x:v>
      </x:c>
      <x:c r="J71" s="16" t="n">
        <x:v>230000</x:v>
      </x:c>
      <x:c r="K71" s="14" t="str">
        <x:v>2026-11-30</x:v>
      </x:c>
      <x:c r="L71" s="14" t="n">
        <x:v>1</x:v>
      </x:c>
      <x:c r="M71" s="14" t="n">
        <x:v>0</x:v>
      </x:c>
      <x:c r="N71" s="16" t="n">
        <x:v>230000</x:v>
      </x:c>
      <x:c r="O71" s="16" t="n">
        <x:v>86484.01</x:v>
      </x:c>
      <x:c r="P71" s="16" t="n">
        <x:v>-1103515.99</x:v>
      </x:c>
      <x:c r="Q71" s="16" t="n">
        <x:v>1103515.99</x:v>
      </x:c>
      <x:c r="R71" s="14" t="n">
        <x:v>1</x:v>
      </x:c>
      <x:c r="S71" s="16" t="n">
        <x:v>86484.01</x:v>
      </x:c>
      <x:c r="T71" s="16" t="n">
        <x:v>0</x:v>
      </x:c>
      <x:c r="U71" s="14" t="n">
        <x:v>0</x:v>
      </x:c>
      <x:c r="V71" s="18" t="n">
        <x:v>0.027</x:v>
      </x:c>
      <x:c r="W71" s="18" t="n">
        <x:v>6210</x:v>
      </x:c>
      <x:c r="X71" s="14" t="str">
        <x:v>Simulated / illustrative</x:v>
      </x:c>
      <x:c r="Y71" t="n">
        <x:f>ROUND(E71+G71+J71-F71-O71,2)</x:f>
        <x:v>0</x:v>
      </x:c>
    </x:row>
    <x:row r="72" ht="19" customHeight="1">
      <x:c r="A72" s="14" t="str">
        <x:v>coarseagg</x:v>
      </x:c>
      <x:c r="B72" s="14" t="str">
        <x:v>Coarse aggregate</x:v>
      </x:c>
      <x:c r="C72" s="14" t="n">
        <x:v>6</x:v>
      </x:c>
      <x:c r="D72" s="14" t="str">
        <x:v>2026-12-14</x:v>
      </x:c>
      <x:c r="E72" s="16" t="n">
        <x:v>86484.01</x:v>
      </x:c>
      <x:c r="F72" s="16" t="n">
        <x:v>223592.42</x:v>
      </x:c>
      <x:c r="G72" s="16" t="n">
        <x:v>0</x:v>
      </x:c>
      <x:c r="H72" s="16" t="n">
        <x:v>79492.73</x:v>
      </x:c>
      <x:c r="I72" s="16" t="n">
        <x:v>216601.14</x:v>
      </x:c>
      <x:c r="J72" s="16" t="n">
        <x:v>220000</x:v>
      </x:c>
      <x:c r="K72" s="14" t="str">
        <x:v>2026-12-07</x:v>
      </x:c>
      <x:c r="L72" s="14" t="n">
        <x:v>1</x:v>
      </x:c>
      <x:c r="M72" s="14" t="n">
        <x:v>0</x:v>
      </x:c>
      <x:c r="N72" s="16" t="n">
        <x:v>220000</x:v>
      </x:c>
      <x:c r="O72" s="16" t="n">
        <x:v>82891.59</x:v>
      </x:c>
      <x:c r="P72" s="16" t="n">
        <x:v>-1327108.41</x:v>
      </x:c>
      <x:c r="Q72" s="16" t="n">
        <x:v>1327108.41</x:v>
      </x:c>
      <x:c r="R72" s="14" t="n">
        <x:v>1</x:v>
      </x:c>
      <x:c r="S72" s="16" t="n">
        <x:v>82891.59</x:v>
      </x:c>
      <x:c r="T72" s="16" t="n">
        <x:v>0</x:v>
      </x:c>
      <x:c r="U72" s="14" t="n">
        <x:v>0</x:v>
      </x:c>
      <x:c r="V72" s="18" t="n">
        <x:v>0.027</x:v>
      </x:c>
      <x:c r="W72" s="18" t="n">
        <x:v>5940</x:v>
      </x:c>
      <x:c r="X72" s="14" t="str">
        <x:v>Simulated / illustrative</x:v>
      </x:c>
      <x:c r="Y72" t="n">
        <x:f>ROUND(E72+G72+J72-F72-O72,2)</x:f>
        <x:v>0</x:v>
      </x:c>
    </x:row>
    <x:row r="73" ht="19" customHeight="1">
      <x:c r="A73" s="14" t="str">
        <x:v>coarseagg</x:v>
      </x:c>
      <x:c r="B73" s="14" t="str">
        <x:v>Coarse aggregate</x:v>
      </x:c>
      <x:c r="C73" s="14" t="n">
        <x:v>7</x:v>
      </x:c>
      <x:c r="D73" s="14" t="str">
        <x:v>2026-12-21</x:v>
      </x:c>
      <x:c r="E73" s="16" t="n">
        <x:v>82891.59</x:v>
      </x:c>
      <x:c r="F73" s="16" t="n">
        <x:v>224379.06</x:v>
      </x:c>
      <x:c r="G73" s="16" t="n">
        <x:v>0</x:v>
      </x:c>
      <x:c r="H73" s="16" t="n">
        <x:v>79492.73</x:v>
      </x:c>
      <x:c r="I73" s="16" t="n">
        <x:v>220980.2</x:v>
      </x:c>
      <x:c r="J73" s="16" t="n">
        <x:v>230000</x:v>
      </x:c>
      <x:c r="K73" s="14" t="str">
        <x:v>2026-12-14</x:v>
      </x:c>
      <x:c r="L73" s="14" t="n">
        <x:v>1</x:v>
      </x:c>
      <x:c r="M73" s="14" t="n">
        <x:v>0</x:v>
      </x:c>
      <x:c r="N73" s="16" t="n">
        <x:v>230000</x:v>
      </x:c>
      <x:c r="O73" s="16" t="n">
        <x:v>88512.53</x:v>
      </x:c>
      <x:c r="P73" s="16" t="n">
        <x:v>-1551487.47</x:v>
      </x:c>
      <x:c r="Q73" s="16" t="n">
        <x:v>1551487.47</x:v>
      </x:c>
      <x:c r="R73" s="14" t="n">
        <x:v>1</x:v>
      </x:c>
      <x:c r="S73" s="16" t="n">
        <x:v>88512.53</x:v>
      </x:c>
      <x:c r="T73" s="16" t="n">
        <x:v>0</x:v>
      </x:c>
      <x:c r="U73" s="14" t="n">
        <x:v>0</x:v>
      </x:c>
      <x:c r="V73" s="18" t="n">
        <x:v>0.027</x:v>
      </x:c>
      <x:c r="W73" s="18" t="n">
        <x:v>6210</x:v>
      </x:c>
      <x:c r="X73" s="14" t="str">
        <x:v>Simulated / illustrative</x:v>
      </x:c>
      <x:c r="Y73" t="n">
        <x:f>ROUND(E73+G73+J73-F73-O73,2)</x:f>
        <x:v>0</x:v>
      </x:c>
    </x:row>
    <x:row r="74" ht="19" customHeight="1">
      <x:c r="A74" s="14" t="str">
        <x:v>coarseagg</x:v>
      </x:c>
      <x:c r="B74" s="14" t="str">
        <x:v>Coarse aggregate</x:v>
      </x:c>
      <x:c r="C74" s="14" t="n">
        <x:v>8</x:v>
      </x:c>
      <x:c r="D74" s="14" t="str">
        <x:v>2026-12-28</x:v>
      </x:c>
      <x:c r="E74" s="16" t="n">
        <x:v>88512.53</x:v>
      </x:c>
      <x:c r="F74" s="16" t="n">
        <x:v>204618.42</x:v>
      </x:c>
      <x:c r="G74" s="16" t="n">
        <x:v>0</x:v>
      </x:c>
      <x:c r="H74" s="16" t="n">
        <x:v>79492.73</x:v>
      </x:c>
      <x:c r="I74" s="16" t="n">
        <x:v>195598.62</x:v>
      </x:c>
      <x:c r="J74" s="16" t="n">
        <x:v>200000</x:v>
      </x:c>
      <x:c r="K74" s="14" t="str">
        <x:v>2026-12-21</x:v>
      </x:c>
      <x:c r="L74" s="14" t="n">
        <x:v>1</x:v>
      </x:c>
      <x:c r="M74" s="14" t="n">
        <x:v>0</x:v>
      </x:c>
      <x:c r="N74" s="16" t="n">
        <x:v>200000</x:v>
      </x:c>
      <x:c r="O74" s="16" t="n">
        <x:v>83894.11</x:v>
      </x:c>
      <x:c r="P74" s="16" t="n">
        <x:v>-1756105.89</x:v>
      </x:c>
      <x:c r="Q74" s="16" t="n">
        <x:v>1756105.89</x:v>
      </x:c>
      <x:c r="R74" s="14" t="n">
        <x:v>1</x:v>
      </x:c>
      <x:c r="S74" s="16" t="n">
        <x:v>83894.11</x:v>
      </x:c>
      <x:c r="T74" s="16" t="n">
        <x:v>0</x:v>
      </x:c>
      <x:c r="U74" s="14" t="n">
        <x:v>0</x:v>
      </x:c>
      <x:c r="V74" s="18" t="n">
        <x:v>0.027</x:v>
      </x:c>
      <x:c r="W74" s="18" t="n">
        <x:v>5400</x:v>
      </x:c>
      <x:c r="X74" s="14" t="str">
        <x:v>Simulated / illustrative</x:v>
      </x:c>
      <x:c r="Y74" t="n">
        <x:f>ROUND(E74+G74+J74-F74-O74,2)</x:f>
        <x:v>0</x:v>
      </x:c>
    </x:row>
    <x:row r="75" ht="19" customHeight="1">
      <x:c r="A75" s="14" t="str">
        <x:v>coarseagg</x:v>
      </x:c>
      <x:c r="B75" s="14" t="str">
        <x:v>Coarse aggregate</x:v>
      </x:c>
      <x:c r="C75" s="14" t="n">
        <x:v>9</x:v>
      </x:c>
      <x:c r="D75" s="14" t="str">
        <x:v>2027-01-04</x:v>
      </x:c>
      <x:c r="E75" s="16" t="n">
        <x:v>83894.11</x:v>
      </x:c>
      <x:c r="F75" s="16" t="n">
        <x:v>203646.74</x:v>
      </x:c>
      <x:c r="G75" s="16" t="n">
        <x:v>0</x:v>
      </x:c>
      <x:c r="H75" s="16" t="n">
        <x:v>79492.73</x:v>
      </x:c>
      <x:c r="I75" s="16" t="n">
        <x:v>199245.36</x:v>
      </x:c>
      <x:c r="J75" s="16" t="n">
        <x:v>200000</x:v>
      </x:c>
      <x:c r="K75" s="14" t="str">
        <x:v>2026-12-28</x:v>
      </x:c>
      <x:c r="L75" s="14" t="n">
        <x:v>1</x:v>
      </x:c>
      <x:c r="M75" s="14" t="n">
        <x:v>0</x:v>
      </x:c>
      <x:c r="N75" s="16" t="n">
        <x:v>200000</x:v>
      </x:c>
      <x:c r="O75" s="16" t="n">
        <x:v>80247.37</x:v>
      </x:c>
      <x:c r="P75" s="16" t="n">
        <x:v>-1959752.63</x:v>
      </x:c>
      <x:c r="Q75" s="16" t="n">
        <x:v>1959752.63</x:v>
      </x:c>
      <x:c r="R75" s="14" t="n">
        <x:v>1</x:v>
      </x:c>
      <x:c r="S75" s="16" t="n">
        <x:v>80247.37</x:v>
      </x:c>
      <x:c r="T75" s="16" t="n">
        <x:v>0</x:v>
      </x:c>
      <x:c r="U75" s="14" t="n">
        <x:v>0</x:v>
      </x:c>
      <x:c r="V75" s="18" t="n">
        <x:v>0.027</x:v>
      </x:c>
      <x:c r="W75" s="18" t="n">
        <x:v>5400</x:v>
      </x:c>
      <x:c r="X75" s="14" t="str">
        <x:v>Simulated / illustrative</x:v>
      </x:c>
      <x:c r="Y75" t="n">
        <x:f>ROUND(E75+G75+J75-F75-O75,2)</x:f>
        <x:v>0</x:v>
      </x:c>
    </x:row>
    <x:row r="76" ht="19" customHeight="1">
      <x:c r="A76" s="14" t="str">
        <x:v>coarseagg</x:v>
      </x:c>
      <x:c r="B76" s="14" t="str">
        <x:v>Coarse aggregate</x:v>
      </x:c>
      <x:c r="C76" s="14" t="n">
        <x:v>10</x:v>
      </x:c>
      <x:c r="D76" s="14" t="str">
        <x:v>2027-01-11</x:v>
      </x:c>
      <x:c r="E76" s="16" t="n">
        <x:v>80247.37</x:v>
      </x:c>
      <x:c r="F76" s="16" t="n">
        <x:v>220888.5</x:v>
      </x:c>
      <x:c r="G76" s="16" t="n">
        <x:v>0</x:v>
      </x:c>
      <x:c r="H76" s="16" t="n">
        <x:v>79492.73</x:v>
      </x:c>
      <x:c r="I76" s="16" t="n">
        <x:v>220133.86</x:v>
      </x:c>
      <x:c r="J76" s="16" t="n">
        <x:v>230000</x:v>
      </x:c>
      <x:c r="K76" s="14" t="str">
        <x:v>2027-01-04</x:v>
      </x:c>
      <x:c r="L76" s="14" t="n">
        <x:v>1</x:v>
      </x:c>
      <x:c r="M76" s="14" t="n">
        <x:v>0</x:v>
      </x:c>
      <x:c r="N76" s="16" t="n">
        <x:v>230000</x:v>
      </x:c>
      <x:c r="O76" s="16" t="n">
        <x:v>89358.87</x:v>
      </x:c>
      <x:c r="P76" s="16" t="n">
        <x:v>-2180641.13</x:v>
      </x:c>
      <x:c r="Q76" s="16" t="n">
        <x:v>2180641.13</x:v>
      </x:c>
      <x:c r="R76" s="14" t="n">
        <x:v>1</x:v>
      </x:c>
      <x:c r="S76" s="16" t="n">
        <x:v>89358.87</x:v>
      </x:c>
      <x:c r="T76" s="16" t="n">
        <x:v>0</x:v>
      </x:c>
      <x:c r="U76" s="14" t="n">
        <x:v>0</x:v>
      </x:c>
      <x:c r="V76" s="18" t="n">
        <x:v>0.027</x:v>
      </x:c>
      <x:c r="W76" s="18" t="n">
        <x:v>6210</x:v>
      </x:c>
      <x:c r="X76" s="14" t="str">
        <x:v>Simulated / illustrative</x:v>
      </x:c>
      <x:c r="Y76" t="n">
        <x:f>ROUND(E76+G76+J76-F76-O76,2)</x:f>
        <x:v>0</x:v>
      </x:c>
    </x:row>
    <x:row r="77" ht="19" customHeight="1">
      <x:c r="A77" s="14" t="str">
        <x:v>coarseagg</x:v>
      </x:c>
      <x:c r="B77" s="14" t="str">
        <x:v>Coarse aggregate</x:v>
      </x:c>
      <x:c r="C77" s="14" t="n">
        <x:v>11</x:v>
      </x:c>
      <x:c r="D77" s="14" t="str">
        <x:v>2027-01-18</x:v>
      </x:c>
      <x:c r="E77" s="16" t="n">
        <x:v>89358.87</x:v>
      </x:c>
      <x:c r="F77" s="16" t="n">
        <x:v>208683.1</x:v>
      </x:c>
      <x:c r="G77" s="16" t="n">
        <x:v>0</x:v>
      </x:c>
      <x:c r="H77" s="16" t="n">
        <x:v>79492.73</x:v>
      </x:c>
      <x:c r="I77" s="16" t="n">
        <x:v>198816.96</x:v>
      </x:c>
      <x:c r="J77" s="16" t="n">
        <x:v>200000</x:v>
      </x:c>
      <x:c r="K77" s="14" t="str">
        <x:v>2027-01-11</x:v>
      </x:c>
      <x:c r="L77" s="14" t="n">
        <x:v>1</x:v>
      </x:c>
      <x:c r="M77" s="14" t="n">
        <x:v>0</x:v>
      </x:c>
      <x:c r="N77" s="16" t="n">
        <x:v>200000</x:v>
      </x:c>
      <x:c r="O77" s="16" t="n">
        <x:v>80675.77</x:v>
      </x:c>
      <x:c r="P77" s="16" t="n">
        <x:v>-2389324.23</x:v>
      </x:c>
      <x:c r="Q77" s="16" t="n">
        <x:v>2389324.23</x:v>
      </x:c>
      <x:c r="R77" s="14" t="n">
        <x:v>1</x:v>
      </x:c>
      <x:c r="S77" s="16" t="n">
        <x:v>80675.77</x:v>
      </x:c>
      <x:c r="T77" s="16" t="n">
        <x:v>0</x:v>
      </x:c>
      <x:c r="U77" s="14" t="n">
        <x:v>0</x:v>
      </x:c>
      <x:c r="V77" s="18" t="n">
        <x:v>0.027</x:v>
      </x:c>
      <x:c r="W77" s="18" t="n">
        <x:v>5400</x:v>
      </x:c>
      <x:c r="X77" s="14" t="str">
        <x:v>Simulated / illustrative</x:v>
      </x:c>
      <x:c r="Y77" t="n">
        <x:f>ROUND(E77+G77+J77-F77-O77,2)</x:f>
        <x:v>0</x:v>
      </x:c>
    </x:row>
    <x:row r="78" ht="19" customHeight="1">
      <x:c r="A78" s="14" t="str">
        <x:v>fineagg</x:v>
      </x:c>
      <x:c r="B78" s="14" t="str">
        <x:v>Fine aggregate</x:v>
      </x:c>
      <x:c r="C78" s="14" t="n">
        <x:v>0</x:v>
      </x:c>
      <x:c r="D78" s="14" t="str">
        <x:v>2026-11-02</x:v>
      </x:c>
      <x:c r="E78" s="16" t="n">
        <x:v>142618.48</x:v>
      </x:c>
      <x:c r="F78" s="16" t="n">
        <x:v>185434.72</x:v>
      </x:c>
      <x:c r="G78" s="16" t="n">
        <x:v>0</x:v>
      </x:c>
      <x:c r="H78" s="16" t="n">
        <x:v>63995.47</x:v>
      </x:c>
      <x:c r="I78" s="16" t="n">
        <x:v>106811.71</x:v>
      </x:c>
      <x:c r="J78" s="16" t="n">
        <x:v>110000</x:v>
      </x:c>
      <x:c r="K78" s="14" t="str">
        <x:v>2026-10-26</x:v>
      </x:c>
      <x:c r="L78" s="14" t="n">
        <x:v>1</x:v>
      </x:c>
      <x:c r="M78" s="14" t="n">
        <x:v>0</x:v>
      </x:c>
      <x:c r="N78" s="16" t="n">
        <x:v>110000</x:v>
      </x:c>
      <x:c r="O78" s="16" t="n">
        <x:v>67183.76</x:v>
      </x:c>
      <x:c r="P78" s="16" t="n">
        <x:v>-42816.24</x:v>
      </x:c>
      <x:c r="Q78" s="16" t="n">
        <x:v>42816.24</x:v>
      </x:c>
      <x:c r="R78" s="14" t="n">
        <x:v>1</x:v>
      </x:c>
      <x:c r="S78" s="16" t="n">
        <x:v>67183.76</x:v>
      </x:c>
      <x:c r="T78" s="16" t="n">
        <x:v>0</x:v>
      </x:c>
      <x:c r="U78" s="14" t="n">
        <x:v>0</x:v>
      </x:c>
      <x:c r="V78" s="18" t="n">
        <x:v>0.029</x:v>
      </x:c>
      <x:c r="W78" s="18" t="n">
        <x:v>3190</x:v>
      </x:c>
      <x:c r="X78" s="14" t="str">
        <x:v>Simulated / illustrative</x:v>
      </x:c>
      <x:c r="Y78" t="n">
        <x:f>ROUND(E78+G78+J78-F78-O78,2)</x:f>
        <x:v>0</x:v>
      </x:c>
    </x:row>
    <x:row r="79" ht="19" customHeight="1">
      <x:c r="A79" s="14" t="str">
        <x:v>fineagg</x:v>
      </x:c>
      <x:c r="B79" s="14" t="str">
        <x:v>Fine aggregate</x:v>
      </x:c>
      <x:c r="C79" s="14" t="n">
        <x:v>1</x:v>
      </x:c>
      <x:c r="D79" s="14" t="str">
        <x:v>2026-11-09</x:v>
      </x:c>
      <x:c r="E79" s="16" t="n">
        <x:v>67183.76</x:v>
      </x:c>
      <x:c r="F79" s="16" t="n">
        <x:v>197186.52</x:v>
      </x:c>
      <x:c r="G79" s="16" t="n">
        <x:v>0</x:v>
      </x:c>
      <x:c r="H79" s="16" t="n">
        <x:v>63995.47</x:v>
      </x:c>
      <x:c r="I79" s="16" t="n">
        <x:v>193998.23</x:v>
      </x:c>
      <x:c r="J79" s="16" t="n">
        <x:v>200000</x:v>
      </x:c>
      <x:c r="K79" s="14" t="str">
        <x:v>2026-11-02</x:v>
      </x:c>
      <x:c r="L79" s="14" t="n">
        <x:v>1</x:v>
      </x:c>
      <x:c r="M79" s="14" t="n">
        <x:v>0</x:v>
      </x:c>
      <x:c r="N79" s="16" t="n">
        <x:v>200000</x:v>
      </x:c>
      <x:c r="O79" s="16" t="n">
        <x:v>69997.24</x:v>
      </x:c>
      <x:c r="P79" s="16" t="n">
        <x:v>-240002.76</x:v>
      </x:c>
      <x:c r="Q79" s="16" t="n">
        <x:v>240002.76</x:v>
      </x:c>
      <x:c r="R79" s="14" t="n">
        <x:v>1</x:v>
      </x:c>
      <x:c r="S79" s="16" t="n">
        <x:v>69997.24</x:v>
      </x:c>
      <x:c r="T79" s="16" t="n">
        <x:v>0</x:v>
      </x:c>
      <x:c r="U79" s="14" t="n">
        <x:v>0</x:v>
      </x:c>
      <x:c r="V79" s="18" t="n">
        <x:v>0.029</x:v>
      </x:c>
      <x:c r="W79" s="18" t="n">
        <x:v>5800</x:v>
      </x:c>
      <x:c r="X79" s="14" t="str">
        <x:v>Simulated / illustrative</x:v>
      </x:c>
      <x:c r="Y79" t="n">
        <x:f>ROUND(E79+G79+J79-F79-O79,2)</x:f>
        <x:v>0</x:v>
      </x:c>
    </x:row>
    <x:row r="80" ht="19" customHeight="1">
      <x:c r="A80" s="14" t="str">
        <x:v>fineagg</x:v>
      </x:c>
      <x:c r="B80" s="14" t="str">
        <x:v>Fine aggregate</x:v>
      </x:c>
      <x:c r="C80" s="14" t="n">
        <x:v>2</x:v>
      </x:c>
      <x:c r="D80" s="14" t="str">
        <x:v>2026-11-16</x:v>
      </x:c>
      <x:c r="E80" s="16" t="n">
        <x:v>69997.24</x:v>
      </x:c>
      <x:c r="F80" s="16" t="n">
        <x:v>177834.24</x:v>
      </x:c>
      <x:c r="G80" s="16" t="n">
        <x:v>118848.73</x:v>
      </x:c>
      <x:c r="H80" s="16" t="n">
        <x:v>63995.47</x:v>
      </x:c>
      <x:c r="I80" s="16" t="n">
        <x:v>52983.74</x:v>
      </x:c>
      <x:c r="J80" s="16" t="n">
        <x:v>60000</x:v>
      </x:c>
      <x:c r="K80" s="14" t="str">
        <x:v>2026-11-09</x:v>
      </x:c>
      <x:c r="L80" s="14" t="n">
        <x:v>1</x:v>
      </x:c>
      <x:c r="M80" s="14" t="n">
        <x:v>0</x:v>
      </x:c>
      <x:c r="N80" s="16" t="n">
        <x:v>60000</x:v>
      </x:c>
      <x:c r="O80" s="16" t="n">
        <x:v>71011.73</x:v>
      </x:c>
      <x:c r="P80" s="16" t="n">
        <x:v>-298988.27</x:v>
      </x:c>
      <x:c r="Q80" s="16" t="n">
        <x:v>298988.27</x:v>
      </x:c>
      <x:c r="R80" s="14" t="n">
        <x:v>1</x:v>
      </x:c>
      <x:c r="S80" s="16" t="n">
        <x:v>71011.73</x:v>
      </x:c>
      <x:c r="T80" s="16" t="n">
        <x:v>0</x:v>
      </x:c>
      <x:c r="U80" s="14" t="n">
        <x:v>0</x:v>
      </x:c>
      <x:c r="V80" s="18" t="n">
        <x:v>0.029</x:v>
      </x:c>
      <x:c r="W80" s="18" t="n">
        <x:v>1740</x:v>
      </x:c>
      <x:c r="X80" s="14" t="str">
        <x:v>Simulated / illustrative</x:v>
      </x:c>
      <x:c r="Y80" t="n">
        <x:f>ROUND(E80+G80+J80-F80-O80,2)</x:f>
        <x:v>0</x:v>
      </x:c>
    </x:row>
    <x:row r="81" ht="19" customHeight="1">
      <x:c r="A81" s="14" t="str">
        <x:v>fineagg</x:v>
      </x:c>
      <x:c r="B81" s="14" t="str">
        <x:v>Fine aggregate</x:v>
      </x:c>
      <x:c r="C81" s="14" t="n">
        <x:v>3</x:v>
      </x:c>
      <x:c r="D81" s="14" t="str">
        <x:v>2026-11-23</x:v>
      </x:c>
      <x:c r="E81" s="16" t="n">
        <x:v>71011.73</x:v>
      </x:c>
      <x:c r="F81" s="16" t="n">
        <x:v>206419.32</x:v>
      </x:c>
      <x:c r="G81" s="16" t="n">
        <x:v>0</x:v>
      </x:c>
      <x:c r="H81" s="16" t="n">
        <x:v>63995.47</x:v>
      </x:c>
      <x:c r="I81" s="16" t="n">
        <x:v>199403.06</x:v>
      </x:c>
      <x:c r="J81" s="16" t="n">
        <x:v>200000</x:v>
      </x:c>
      <x:c r="K81" s="14" t="str">
        <x:v>2026-11-16</x:v>
      </x:c>
      <x:c r="L81" s="14" t="n">
        <x:v>1</x:v>
      </x:c>
      <x:c r="M81" s="14" t="n">
        <x:v>0</x:v>
      </x:c>
      <x:c r="N81" s="16" t="n">
        <x:v>200000</x:v>
      </x:c>
      <x:c r="O81" s="16" t="n">
        <x:v>64592.41</x:v>
      </x:c>
      <x:c r="P81" s="16" t="n">
        <x:v>-505407.59</x:v>
      </x:c>
      <x:c r="Q81" s="16" t="n">
        <x:v>505407.59</x:v>
      </x:c>
      <x:c r="R81" s="14" t="n">
        <x:v>1</x:v>
      </x:c>
      <x:c r="S81" s="16" t="n">
        <x:v>64592.41</x:v>
      </x:c>
      <x:c r="T81" s="16" t="n">
        <x:v>0</x:v>
      </x:c>
      <x:c r="U81" s="14" t="n">
        <x:v>0</x:v>
      </x:c>
      <x:c r="V81" s="18" t="n">
        <x:v>0.029</x:v>
      </x:c>
      <x:c r="W81" s="18" t="n">
        <x:v>5800</x:v>
      </x:c>
      <x:c r="X81" s="14" t="str">
        <x:v>Simulated / illustrative</x:v>
      </x:c>
      <x:c r="Y81" t="n">
        <x:f>ROUND(E81+G81+J81-F81-O81,2)</x:f>
        <x:v>0</x:v>
      </x:c>
    </x:row>
    <x:row r="82" ht="19" customHeight="1">
      <x:c r="A82" s="14" t="str">
        <x:v>fineagg</x:v>
      </x:c>
      <x:c r="B82" s="14" t="str">
        <x:v>Fine aggregate</x:v>
      </x:c>
      <x:c r="C82" s="14" t="n">
        <x:v>4</x:v>
      </x:c>
      <x:c r="D82" s="14" t="str">
        <x:v>2026-11-30</x:v>
      </x:c>
      <x:c r="E82" s="16" t="n">
        <x:v>64592.41</x:v>
      </x:c>
      <x:c r="F82" s="16" t="n">
        <x:v>206672.88</x:v>
      </x:c>
      <x:c r="G82" s="16" t="n">
        <x:v>0</x:v>
      </x:c>
      <x:c r="H82" s="16" t="n">
        <x:v>63995.47</x:v>
      </x:c>
      <x:c r="I82" s="16" t="n">
        <x:v>206075.94</x:v>
      </x:c>
      <x:c r="J82" s="16" t="n">
        <x:v>210000</x:v>
      </x:c>
      <x:c r="K82" s="14" t="str">
        <x:v>2026-11-23</x:v>
      </x:c>
      <x:c r="L82" s="14" t="n">
        <x:v>1</x:v>
      </x:c>
      <x:c r="M82" s="14" t="n">
        <x:v>0</x:v>
      </x:c>
      <x:c r="N82" s="16" t="n">
        <x:v>210000</x:v>
      </x:c>
      <x:c r="O82" s="16" t="n">
        <x:v>67919.53</x:v>
      </x:c>
      <x:c r="P82" s="16" t="n">
        <x:v>-712080.47</x:v>
      </x:c>
      <x:c r="Q82" s="16" t="n">
        <x:v>712080.47</x:v>
      </x:c>
      <x:c r="R82" s="14" t="n">
        <x:v>1</x:v>
      </x:c>
      <x:c r="S82" s="16" t="n">
        <x:v>67919.53</x:v>
      </x:c>
      <x:c r="T82" s="16" t="n">
        <x:v>0</x:v>
      </x:c>
      <x:c r="U82" s="14" t="n">
        <x:v>0</x:v>
      </x:c>
      <x:c r="V82" s="18" t="n">
        <x:v>0.029</x:v>
      </x:c>
      <x:c r="W82" s="18" t="n">
        <x:v>6090</x:v>
      </x:c>
      <x:c r="X82" s="14" t="str">
        <x:v>Simulated / illustrative</x:v>
      </x:c>
      <x:c r="Y82" t="n">
        <x:f>ROUND(E82+G82+J82-F82-O82,2)</x:f>
        <x:v>0</x:v>
      </x:c>
    </x:row>
    <x:row r="83" ht="19" customHeight="1">
      <x:c r="A83" s="14" t="str">
        <x:v>fineagg</x:v>
      </x:c>
      <x:c r="B83" s="14" t="str">
        <x:v>Fine aggregate</x:v>
      </x:c>
      <x:c r="C83" s="14" t="n">
        <x:v>5</x:v>
      </x:c>
      <x:c r="D83" s="14" t="str">
        <x:v>2026-12-07</x:v>
      </x:c>
      <x:c r="E83" s="16" t="n">
        <x:v>67919.53</x:v>
      </x:c>
      <x:c r="F83" s="16" t="n">
        <x:v>187275.2</x:v>
      </x:c>
      <x:c r="G83" s="16" t="n">
        <x:v>0</x:v>
      </x:c>
      <x:c r="H83" s="16" t="n">
        <x:v>63995.47</x:v>
      </x:c>
      <x:c r="I83" s="16" t="n">
        <x:v>183351.14</x:v>
      </x:c>
      <x:c r="J83" s="16" t="n">
        <x:v>190000</x:v>
      </x:c>
      <x:c r="K83" s="14" t="str">
        <x:v>2026-11-30</x:v>
      </x:c>
      <x:c r="L83" s="14" t="n">
        <x:v>1</x:v>
      </x:c>
      <x:c r="M83" s="14" t="n">
        <x:v>0</x:v>
      </x:c>
      <x:c r="N83" s="16" t="n">
        <x:v>190000</x:v>
      </x:c>
      <x:c r="O83" s="16" t="n">
        <x:v>70644.33</x:v>
      </x:c>
      <x:c r="P83" s="16" t="n">
        <x:v>-899355.67</x:v>
      </x:c>
      <x:c r="Q83" s="16" t="n">
        <x:v>899355.67</x:v>
      </x:c>
      <x:c r="R83" s="14" t="n">
        <x:v>1</x:v>
      </x:c>
      <x:c r="S83" s="16" t="n">
        <x:v>70644.33</x:v>
      </x:c>
      <x:c r="T83" s="16" t="n">
        <x:v>0</x:v>
      </x:c>
      <x:c r="U83" s="14" t="n">
        <x:v>0</x:v>
      </x:c>
      <x:c r="V83" s="18" t="n">
        <x:v>0.029</x:v>
      </x:c>
      <x:c r="W83" s="18" t="n">
        <x:v>5510</x:v>
      </x:c>
      <x:c r="X83" s="14" t="str">
        <x:v>Simulated / illustrative</x:v>
      </x:c>
      <x:c r="Y83" t="n">
        <x:f>ROUND(E83+G83+J83-F83-O83,2)</x:f>
        <x:v>0</x:v>
      </x:c>
    </x:row>
    <x:row r="84" ht="19" customHeight="1">
      <x:c r="A84" s="14" t="str">
        <x:v>fineagg</x:v>
      </x:c>
      <x:c r="B84" s="14" t="str">
        <x:v>Fine aggregate</x:v>
      </x:c>
      <x:c r="C84" s="14" t="n">
        <x:v>6</x:v>
      </x:c>
      <x:c r="D84" s="14" t="str">
        <x:v>2026-12-14</x:v>
      </x:c>
      <x:c r="E84" s="16" t="n">
        <x:v>70644.33</x:v>
      </x:c>
      <x:c r="F84" s="16" t="n">
        <x:v>177332.96</x:v>
      </x:c>
      <x:c r="G84" s="16" t="n">
        <x:v>0</x:v>
      </x:c>
      <x:c r="H84" s="16" t="n">
        <x:v>63995.47</x:v>
      </x:c>
      <x:c r="I84" s="16" t="n">
        <x:v>170684.1</x:v>
      </x:c>
      <x:c r="J84" s="16" t="n">
        <x:v>180000</x:v>
      </x:c>
      <x:c r="K84" s="14" t="str">
        <x:v>2026-12-07</x:v>
      </x:c>
      <x:c r="L84" s="14" t="n">
        <x:v>1</x:v>
      </x:c>
      <x:c r="M84" s="14" t="n">
        <x:v>0</x:v>
      </x:c>
      <x:c r="N84" s="16" t="n">
        <x:v>180000</x:v>
      </x:c>
      <x:c r="O84" s="16" t="n">
        <x:v>73311.37</x:v>
      </x:c>
      <x:c r="P84" s="16" t="n">
        <x:v>-1076688.63</x:v>
      </x:c>
      <x:c r="Q84" s="16" t="n">
        <x:v>1076688.63</x:v>
      </x:c>
      <x:c r="R84" s="14" t="n">
        <x:v>1</x:v>
      </x:c>
      <x:c r="S84" s="16" t="n">
        <x:v>73311.37</x:v>
      </x:c>
      <x:c r="T84" s="16" t="n">
        <x:v>0</x:v>
      </x:c>
      <x:c r="U84" s="14" t="n">
        <x:v>0</x:v>
      </x:c>
      <x:c r="V84" s="18" t="n">
        <x:v>0.029</x:v>
      </x:c>
      <x:c r="W84" s="18" t="n">
        <x:v>5220</x:v>
      </x:c>
      <x:c r="X84" s="14" t="str">
        <x:v>Simulated / illustrative</x:v>
      </x:c>
      <x:c r="Y84" t="n">
        <x:f>ROUND(E84+G84+J84-F84-O84,2)</x:f>
        <x:v>0</x:v>
      </x:c>
    </x:row>
    <x:row r="85" ht="19" customHeight="1">
      <x:c r="A85" s="14" t="str">
        <x:v>fineagg</x:v>
      </x:c>
      <x:c r="B85" s="14" t="str">
        <x:v>Fine aggregate</x:v>
      </x:c>
      <x:c r="C85" s="14" t="n">
        <x:v>7</x:v>
      </x:c>
      <x:c r="D85" s="14" t="str">
        <x:v>2026-12-21</x:v>
      </x:c>
      <x:c r="E85" s="16" t="n">
        <x:v>73311.37</x:v>
      </x:c>
      <x:c r="F85" s="16" t="n">
        <x:v>181659.28</x:v>
      </x:c>
      <x:c r="G85" s="16" t="n">
        <x:v>0</x:v>
      </x:c>
      <x:c r="H85" s="16" t="n">
        <x:v>63995.47</x:v>
      </x:c>
      <x:c r="I85" s="16" t="n">
        <x:v>172343.38</x:v>
      </x:c>
      <x:c r="J85" s="16" t="n">
        <x:v>180000</x:v>
      </x:c>
      <x:c r="K85" s="14" t="str">
        <x:v>2026-12-14</x:v>
      </x:c>
      <x:c r="L85" s="14" t="n">
        <x:v>1</x:v>
      </x:c>
      <x:c r="M85" s="14" t="n">
        <x:v>0</x:v>
      </x:c>
      <x:c r="N85" s="16" t="n">
        <x:v>180000</x:v>
      </x:c>
      <x:c r="O85" s="16" t="n">
        <x:v>71652.09</x:v>
      </x:c>
      <x:c r="P85" s="16" t="n">
        <x:v>-1258347.91</x:v>
      </x:c>
      <x:c r="Q85" s="16" t="n">
        <x:v>1258347.91</x:v>
      </x:c>
      <x:c r="R85" s="14" t="n">
        <x:v>1</x:v>
      </x:c>
      <x:c r="S85" s="16" t="n">
        <x:v>71652.09</x:v>
      </x:c>
      <x:c r="T85" s="16" t="n">
        <x:v>0</x:v>
      </x:c>
      <x:c r="U85" s="14" t="n">
        <x:v>0</x:v>
      </x:c>
      <x:c r="V85" s="18" t="n">
        <x:v>0.029</x:v>
      </x:c>
      <x:c r="W85" s="18" t="n">
        <x:v>5220</x:v>
      </x:c>
      <x:c r="X85" s="14" t="str">
        <x:v>Simulated / illustrative</x:v>
      </x:c>
      <x:c r="Y85" t="n">
        <x:f>ROUND(E85+G85+J85-F85-O85,2)</x:f>
        <x:v>0</x:v>
      </x:c>
    </x:row>
    <x:row r="86" ht="19" customHeight="1">
      <x:c r="A86" s="14" t="str">
        <x:v>fineagg</x:v>
      </x:c>
      <x:c r="B86" s="14" t="str">
        <x:v>Fine aggregate</x:v>
      </x:c>
      <x:c r="C86" s="14" t="n">
        <x:v>8</x:v>
      </x:c>
      <x:c r="D86" s="14" t="str">
        <x:v>2026-12-28</x:v>
      </x:c>
      <x:c r="E86" s="16" t="n">
        <x:v>71652.09</x:v>
      </x:c>
      <x:c r="F86" s="16" t="n">
        <x:v>163338.76</x:v>
      </x:c>
      <x:c r="G86" s="16" t="n">
        <x:v>0</x:v>
      </x:c>
      <x:c r="H86" s="16" t="n">
        <x:v>63995.47</x:v>
      </x:c>
      <x:c r="I86" s="16" t="n">
        <x:v>155682.14</x:v>
      </x:c>
      <x:c r="J86" s="16" t="n">
        <x:v>160000</x:v>
      </x:c>
      <x:c r="K86" s="14" t="str">
        <x:v>2026-12-21</x:v>
      </x:c>
      <x:c r="L86" s="14" t="n">
        <x:v>1</x:v>
      </x:c>
      <x:c r="M86" s="14" t="n">
        <x:v>0</x:v>
      </x:c>
      <x:c r="N86" s="16" t="n">
        <x:v>160000</x:v>
      </x:c>
      <x:c r="O86" s="16" t="n">
        <x:v>68313.33</x:v>
      </x:c>
      <x:c r="P86" s="16" t="n">
        <x:v>-1421686.67</x:v>
      </x:c>
      <x:c r="Q86" s="16" t="n">
        <x:v>1421686.67</x:v>
      </x:c>
      <x:c r="R86" s="14" t="n">
        <x:v>1</x:v>
      </x:c>
      <x:c r="S86" s="16" t="n">
        <x:v>68313.33</x:v>
      </x:c>
      <x:c r="T86" s="16" t="n">
        <x:v>0</x:v>
      </x:c>
      <x:c r="U86" s="14" t="n">
        <x:v>0</x:v>
      </x:c>
      <x:c r="V86" s="18" t="n">
        <x:v>0.029</x:v>
      </x:c>
      <x:c r="W86" s="18" t="n">
        <x:v>4640</x:v>
      </x:c>
      <x:c r="X86" s="14" t="str">
        <x:v>Simulated / illustrative</x:v>
      </x:c>
      <x:c r="Y86" t="n">
        <x:f>ROUND(E86+G86+J86-F86-O86,2)</x:f>
        <x:v>0</x:v>
      </x:c>
    </x:row>
    <x:row r="87" ht="19" customHeight="1">
      <x:c r="A87" s="14" t="str">
        <x:v>fineagg</x:v>
      </x:c>
      <x:c r="B87" s="14" t="str">
        <x:v>Fine aggregate</x:v>
      </x:c>
      <x:c r="C87" s="14" t="n">
        <x:v>9</x:v>
      </x:c>
      <x:c r="D87" s="14" t="str">
        <x:v>2027-01-04</x:v>
      </x:c>
      <x:c r="E87" s="16" t="n">
        <x:v>68313.33</x:v>
      </x:c>
      <x:c r="F87" s="16" t="n">
        <x:v>163001.92</x:v>
      </x:c>
      <x:c r="G87" s="16" t="n">
        <x:v>0</x:v>
      </x:c>
      <x:c r="H87" s="16" t="n">
        <x:v>63995.47</x:v>
      </x:c>
      <x:c r="I87" s="16" t="n">
        <x:v>158684.06</x:v>
      </x:c>
      <x:c r="J87" s="16" t="n">
        <x:v>160000</x:v>
      </x:c>
      <x:c r="K87" s="14" t="str">
        <x:v>2026-12-28</x:v>
      </x:c>
      <x:c r="L87" s="14" t="n">
        <x:v>1</x:v>
      </x:c>
      <x:c r="M87" s="14" t="n">
        <x:v>0</x:v>
      </x:c>
      <x:c r="N87" s="16" t="n">
        <x:v>160000</x:v>
      </x:c>
      <x:c r="O87" s="16" t="n">
        <x:v>65311.41</x:v>
      </x:c>
      <x:c r="P87" s="16" t="n">
        <x:v>-1584688.59</x:v>
      </x:c>
      <x:c r="Q87" s="16" t="n">
        <x:v>1584688.59</x:v>
      </x:c>
      <x:c r="R87" s="14" t="n">
        <x:v>1</x:v>
      </x:c>
      <x:c r="S87" s="16" t="n">
        <x:v>65311.41</x:v>
      </x:c>
      <x:c r="T87" s="16" t="n">
        <x:v>0</x:v>
      </x:c>
      <x:c r="U87" s="14" t="n">
        <x:v>0</x:v>
      </x:c>
      <x:c r="V87" s="18" t="n">
        <x:v>0.029</x:v>
      </x:c>
      <x:c r="W87" s="18" t="n">
        <x:v>4640</x:v>
      </x:c>
      <x:c r="X87" s="14" t="str">
        <x:v>Simulated / illustrative</x:v>
      </x:c>
      <x:c r="Y87" t="n">
        <x:f>ROUND(E87+G87+J87-F87-O87,2)</x:f>
        <x:v>0</x:v>
      </x:c>
    </x:row>
    <x:row r="88" ht="19" customHeight="1">
      <x:c r="A88" s="14" t="str">
        <x:v>fineagg</x:v>
      </x:c>
      <x:c r="B88" s="14" t="str">
        <x:v>Fine aggregate</x:v>
      </x:c>
      <x:c r="C88" s="14" t="n">
        <x:v>10</x:v>
      </x:c>
      <x:c r="D88" s="14" t="str">
        <x:v>2027-01-11</x:v>
      </x:c>
      <x:c r="E88" s="16" t="n">
        <x:v>65311.41</x:v>
      </x:c>
      <x:c r="F88" s="16" t="n">
        <x:v>177671.2</x:v>
      </x:c>
      <x:c r="G88" s="16" t="n">
        <x:v>0</x:v>
      </x:c>
      <x:c r="H88" s="16" t="n">
        <x:v>63995.47</x:v>
      </x:c>
      <x:c r="I88" s="16" t="n">
        <x:v>176355.26</x:v>
      </x:c>
      <x:c r="J88" s="16" t="n">
        <x:v>180000</x:v>
      </x:c>
      <x:c r="K88" s="14" t="str">
        <x:v>2027-01-04</x:v>
      </x:c>
      <x:c r="L88" s="14" t="n">
        <x:v>1</x:v>
      </x:c>
      <x:c r="M88" s="14" t="n">
        <x:v>0</x:v>
      </x:c>
      <x:c r="N88" s="16" t="n">
        <x:v>180000</x:v>
      </x:c>
      <x:c r="O88" s="16" t="n">
        <x:v>67640.21</x:v>
      </x:c>
      <x:c r="P88" s="16" t="n">
        <x:v>-1762359.79</x:v>
      </x:c>
      <x:c r="Q88" s="16" t="n">
        <x:v>1762359.79</x:v>
      </x:c>
      <x:c r="R88" s="14" t="n">
        <x:v>1</x:v>
      </x:c>
      <x:c r="S88" s="16" t="n">
        <x:v>67640.21</x:v>
      </x:c>
      <x:c r="T88" s="16" t="n">
        <x:v>0</x:v>
      </x:c>
      <x:c r="U88" s="14" t="n">
        <x:v>0</x:v>
      </x:c>
      <x:c r="V88" s="18" t="n">
        <x:v>0.029</x:v>
      </x:c>
      <x:c r="W88" s="18" t="n">
        <x:v>5220</x:v>
      </x:c>
      <x:c r="X88" s="14" t="str">
        <x:v>Simulated / illustrative</x:v>
      </x:c>
      <x:c r="Y88" t="n">
        <x:f>ROUND(E88+G88+J88-F88-O88,2)</x:f>
        <x:v>0</x:v>
      </x:c>
    </x:row>
    <x:row r="89" ht="19" customHeight="1">
      <x:c r="A89" s="14" t="str">
        <x:v>fineagg</x:v>
      </x:c>
      <x:c r="B89" s="14" t="str">
        <x:v>Fine aggregate</x:v>
      </x:c>
      <x:c r="C89" s="14" t="n">
        <x:v>11</x:v>
      </x:c>
      <x:c r="D89" s="14" t="str">
        <x:v>2027-01-18</x:v>
      </x:c>
      <x:c r="E89" s="16" t="n">
        <x:v>67640.21</x:v>
      </x:c>
      <x:c r="F89" s="16" t="n">
        <x:v>170303.4</x:v>
      </x:c>
      <x:c r="G89" s="16" t="n">
        <x:v>0</x:v>
      </x:c>
      <x:c r="H89" s="16" t="n">
        <x:v>63995.47</x:v>
      </x:c>
      <x:c r="I89" s="16" t="n">
        <x:v>166658.66</x:v>
      </x:c>
      <x:c r="J89" s="16" t="n">
        <x:v>170000</x:v>
      </x:c>
      <x:c r="K89" s="14" t="str">
        <x:v>2027-01-11</x:v>
      </x:c>
      <x:c r="L89" s="14" t="n">
        <x:v>1</x:v>
      </x:c>
      <x:c r="M89" s="14" t="n">
        <x:v>0</x:v>
      </x:c>
      <x:c r="N89" s="16" t="n">
        <x:v>170000</x:v>
      </x:c>
      <x:c r="O89" s="16" t="n">
        <x:v>67336.81</x:v>
      </x:c>
      <x:c r="P89" s="16" t="n">
        <x:v>-1932663.19</x:v>
      </x:c>
      <x:c r="Q89" s="16" t="n">
        <x:v>1932663.19</x:v>
      </x:c>
      <x:c r="R89" s="14" t="n">
        <x:v>1</x:v>
      </x:c>
      <x:c r="S89" s="16" t="n">
        <x:v>67336.81</x:v>
      </x:c>
      <x:c r="T89" s="16" t="n">
        <x:v>0</x:v>
      </x:c>
      <x:c r="U89" s="14" t="n">
        <x:v>0</x:v>
      </x:c>
      <x:c r="V89" s="18" t="n">
        <x:v>0.029</x:v>
      </x:c>
      <x:c r="W89" s="18" t="n">
        <x:v>4930</x:v>
      </x:c>
      <x:c r="X89" s="14" t="str">
        <x:v>Simulated / illustrative</x:v>
      </x:c>
      <x:c r="Y89" t="n">
        <x:f>ROUND(E89+G89+J89-F89-O89,2)</x:f>
        <x:v>0</x:v>
      </x:c>
    </x:row>
  </x:sheetData>
  <x:mergeCells>
    <x:mergeCell ref="A1:X2"/>
    <x:mergeCell ref="A3:X3"/>
  </x:mergeCells>
  <x:pageMargins left="0.7" right="0.7" top="0.75" bottom="0.75" header="0.3" footer="0.3"/>
  <x:tableParts count="1">
    <x:tablePart xmlns:r="http://schemas.openxmlformats.org/officeDocument/2006/relationships" r:id="Re65e1b99cb48481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1" hidden="0" customWidth="1"/>
    <x:col min="4" max="4" width="31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1" hidden="0" customWidth="1"/>
    <x:col min="14" max="14" width="37" hidden="0" customWidth="1"/>
    <x:col min="15" max="15" width="18" hidden="0" customWidth="1"/>
    <x:col min="16" max="16" width="22" hidden="0" customWidth="1"/>
    <x:col min="17" max="17" width="23" hidden="0" customWidth="1"/>
  </x:cols>
  <x:sheetData>
    <x:row r="1" ht="22" customHeight="1">
      <x:c r="A1" s="3" t="str">
        <x:v>PURCHASE PLAN  |  SCENARIO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5" customHeight="1">
      <x:c r="A3" s="6" t="str">
        <x:v>Original concrete dataset supplies mixture ingredients; inventory, lead times, order quantities and prices are simulated.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5" ht="31" customHeight="1">
      <x:c r="A5" s="10" t="str">
        <x:v>po_recommendation_id</x:v>
      </x:c>
      <x:c r="B5" s="10" t="str">
        <x:v>material_id</x:v>
      </x:c>
      <x:c r="C5" s="10" t="str">
        <x:v>material_name</x:v>
      </x:c>
      <x:c r="D5" s="10" t="str">
        <x:v>primary_supplier</x:v>
      </x:c>
      <x:c r="E5" s="10" t="str">
        <x:v>planned_release_date</x:v>
      </x:c>
      <x:c r="F5" s="10" t="str">
        <x:v>requested_receipt_date</x:v>
      </x:c>
      <x:c r="G5" s="10" t="str">
        <x:v>week_index</x:v>
      </x:c>
      <x:c r="H5" s="10" t="str">
        <x:v>lead_time_weeks</x:v>
      </x:c>
      <x:c r="I5" s="10" t="str">
        <x:v>order_qty_kg</x:v>
      </x:c>
      <x:c r="J5" s="10" t="str">
        <x:v>unit_cost_usd_per_kg</x:v>
      </x:c>
      <x:c r="K5" s="10" t="str">
        <x:v>extended_cost_usd</x:v>
      </x:c>
      <x:c r="L5" s="10" t="str">
        <x:v>late_release_flag</x:v>
      </x:c>
      <x:c r="M5" s="10" t="str">
        <x:v>release_status</x:v>
      </x:c>
      <x:c r="N5" s="10" t="str">
        <x:v>source</x:v>
      </x:c>
      <x:c r="O5" s="10" t="str">
        <x:v>delivery_delay_weeks</x:v>
      </x:c>
      <x:c r="P5" s="10" t="str">
        <x:v>feasible_receipt_date</x:v>
      </x:c>
      <x:c r="Q5" s="20" t="str">
        <x:v>COST_CHECK_USD</x:v>
      </x:c>
    </x:row>
    <x:row r="6" ht="19" customHeight="1">
      <x:c r="A6" s="14" t="str">
        <x:v>MRP-CEMENT-00</x:v>
      </x:c>
      <x:c r="B6" s="14" t="str">
        <x:v>cement</x:v>
      </x:c>
      <x:c r="C6" s="14" t="str">
        <x:v>Portland cement</x:v>
      </x:c>
      <x:c r="D6" s="14" t="str">
        <x:v>KilnWorks Materials</x:v>
      </x:c>
      <x:c r="E6" s="14" t="str">
        <x:v>2026-10-19</x:v>
      </x:c>
      <x:c r="F6" s="14" t="str">
        <x:v>2026-11-02</x:v>
      </x:c>
      <x:c r="G6" s="14" t="n">
        <x:v>0</x:v>
      </x:c>
      <x:c r="H6" s="14" t="n">
        <x:v>2</x:v>
      </x:c>
      <x:c r="I6" s="16" t="n">
        <x:v>16000</x:v>
      </x:c>
      <x:c r="J6" s="18" t="n">
        <x:v>0.16</x:v>
      </x:c>
      <x:c r="K6" s="18" t="n">
        <x:v>2560</x:v>
      </x:c>
      <x:c r="L6" s="14" t="n">
        <x:v>1</x:v>
      </x:c>
      <x:c r="M6" s="14" t="str">
        <x:v>Expedite requested date / negotiate</x:v>
      </x:c>
      <x:c r="N6" s="14" t="str">
        <x:v>MRP recommendation on simulated plan</x:v>
      </x:c>
      <x:c r="O6" s="14" t="n">
        <x:v>1</x:v>
      </x:c>
      <x:c r="P6" s="14" t="str">
        <x:v>2026-11-09</x:v>
      </x:c>
      <x:c r="Q6" t="n">
        <x:f>ROUND(I6*J6-K6,2)</x:f>
        <x:v>0</x:v>
      </x:c>
    </x:row>
    <x:row r="7" ht="19" customHeight="1">
      <x:c r="A7" s="14" t="str">
        <x:v>MRP-CEMENT-01</x:v>
      </x:c>
      <x:c r="B7" s="14" t="str">
        <x:v>cement</x:v>
      </x:c>
      <x:c r="C7" s="14" t="str">
        <x:v>Portland cement</x:v>
      </x:c>
      <x:c r="D7" s="14" t="str">
        <x:v>KilnWorks Materials</x:v>
      </x:c>
      <x:c r="E7" s="14" t="str">
        <x:v>2026-10-26</x:v>
      </x:c>
      <x:c r="F7" s="14" t="str">
        <x:v>2026-11-09</x:v>
      </x:c>
      <x:c r="G7" s="14" t="n">
        <x:v>1</x:v>
      </x:c>
      <x:c r="H7" s="14" t="n">
        <x:v>2</x:v>
      </x:c>
      <x:c r="I7" s="16" t="n">
        <x:v>28000</x:v>
      </x:c>
      <x:c r="J7" s="18" t="n">
        <x:v>0.16</x:v>
      </x:c>
      <x:c r="K7" s="18" t="n">
        <x:v>4480</x:v>
      </x:c>
      <x:c r="L7" s="14" t="n">
        <x:v>0</x:v>
      </x:c>
      <x:c r="M7" s="14" t="str">
        <x:v>Release on schedule</x:v>
      </x:c>
      <x:c r="N7" s="14" t="str">
        <x:v>MRP recommendation on simulated plan</x:v>
      </x:c>
      <x:c r="O7" s="14" t="n">
        <x:v>0</x:v>
      </x:c>
      <x:c r="P7" s="14" t="str">
        <x:v>2026-11-09</x:v>
      </x:c>
      <x:c r="Q7" t="n">
        <x:f>ROUND(I7*J7-K7,2)</x:f>
        <x:v>0</x:v>
      </x:c>
    </x:row>
    <x:row r="8" ht="19" customHeight="1">
      <x:c r="A8" s="14" t="str">
        <x:v>MRP-CEMENT-02</x:v>
      </x:c>
      <x:c r="B8" s="14" t="str">
        <x:v>cement</x:v>
      </x:c>
      <x:c r="C8" s="14" t="str">
        <x:v>Portland cement</x:v>
      </x:c>
      <x:c r="D8" s="14" t="str">
        <x:v>KilnWorks Materials</x:v>
      </x:c>
      <x:c r="E8" s="14" t="str">
        <x:v>2026-11-02</x:v>
      </x:c>
      <x:c r="F8" s="14" t="str">
        <x:v>2026-11-16</x:v>
      </x:c>
      <x:c r="G8" s="14" t="n">
        <x:v>2</x:v>
      </x:c>
      <x:c r="H8" s="14" t="n">
        <x:v>2</x:v>
      </x:c>
      <x:c r="I8" s="16" t="n">
        <x:v>56000</x:v>
      </x:c>
      <x:c r="J8" s="18" t="n">
        <x:v>0.16</x:v>
      </x:c>
      <x:c r="K8" s="18" t="n">
        <x:v>8960</x:v>
      </x:c>
      <x:c r="L8" s="14" t="n">
        <x:v>0</x:v>
      </x:c>
      <x:c r="M8" s="14" t="str">
        <x:v>Release on schedule</x:v>
      </x:c>
      <x:c r="N8" s="14" t="str">
        <x:v>MRP recommendation on simulated plan</x:v>
      </x:c>
      <x:c r="O8" s="14" t="n">
        <x:v>0</x:v>
      </x:c>
      <x:c r="P8" s="14" t="str">
        <x:v>2026-11-16</x:v>
      </x:c>
      <x:c r="Q8" t="n">
        <x:f>ROUND(I8*J8-K8,2)</x:f>
        <x:v>0</x:v>
      </x:c>
    </x:row>
    <x:row r="9" ht="19" customHeight="1">
      <x:c r="A9" s="14" t="str">
        <x:v>MRP-CEMENT-03</x:v>
      </x:c>
      <x:c r="B9" s="14" t="str">
        <x:v>cement</x:v>
      </x:c>
      <x:c r="C9" s="14" t="str">
        <x:v>Portland cement</x:v>
      </x:c>
      <x:c r="D9" s="14" t="str">
        <x:v>KilnWorks Materials</x:v>
      </x:c>
      <x:c r="E9" s="14" t="str">
        <x:v>2026-11-09</x:v>
      </x:c>
      <x:c r="F9" s="14" t="str">
        <x:v>2026-11-23</x:v>
      </x:c>
      <x:c r="G9" s="14" t="n">
        <x:v>3</x:v>
      </x:c>
      <x:c r="H9" s="14" t="n">
        <x:v>2</x:v>
      </x:c>
      <x:c r="I9" s="16" t="n">
        <x:v>64000</x:v>
      </x:c>
      <x:c r="J9" s="18" t="n">
        <x:v>0.16</x:v>
      </x:c>
      <x:c r="K9" s="18" t="n">
        <x:v>10240</x:v>
      </x:c>
      <x:c r="L9" s="14" t="n">
        <x:v>0</x:v>
      </x:c>
      <x:c r="M9" s="14" t="str">
        <x:v>Release on schedule</x:v>
      </x:c>
      <x:c r="N9" s="14" t="str">
        <x:v>MRP recommendation on simulated plan</x:v>
      </x:c>
      <x:c r="O9" s="14" t="n">
        <x:v>0</x:v>
      </x:c>
      <x:c r="P9" s="14" t="str">
        <x:v>2026-11-23</x:v>
      </x:c>
      <x:c r="Q9" t="n">
        <x:f>ROUND(I9*J9-K9,2)</x:f>
        <x:v>0</x:v>
      </x:c>
    </x:row>
    <x:row r="10" ht="19" customHeight="1">
      <x:c r="A10" s="14" t="str">
        <x:v>MRP-CEMENT-04</x:v>
      </x:c>
      <x:c r="B10" s="14" t="str">
        <x:v>cement</x:v>
      </x:c>
      <x:c r="C10" s="14" t="str">
        <x:v>Portland cement</x:v>
      </x:c>
      <x:c r="D10" s="14" t="str">
        <x:v>KilnWorks Materials</x:v>
      </x:c>
      <x:c r="E10" s="14" t="str">
        <x:v>2026-11-16</x:v>
      </x:c>
      <x:c r="F10" s="14" t="str">
        <x:v>2026-11-30</x:v>
      </x:c>
      <x:c r="G10" s="14" t="n">
        <x:v>4</x:v>
      </x:c>
      <x:c r="H10" s="14" t="n">
        <x:v>2</x:v>
      </x:c>
      <x:c r="I10" s="16" t="n">
        <x:v>68000</x:v>
      </x:c>
      <x:c r="J10" s="18" t="n">
        <x:v>0.16</x:v>
      </x:c>
      <x:c r="K10" s="18" t="n">
        <x:v>10880</x:v>
      </x:c>
      <x:c r="L10" s="14" t="n">
        <x:v>0</x:v>
      </x:c>
      <x:c r="M10" s="14" t="str">
        <x:v>Release on schedule</x:v>
      </x:c>
      <x:c r="N10" s="14" t="str">
        <x:v>MRP recommendation on simulated plan</x:v>
      </x:c>
      <x:c r="O10" s="14" t="n">
        <x:v>0</x:v>
      </x:c>
      <x:c r="P10" s="14" t="str">
        <x:v>2026-11-30</x:v>
      </x:c>
      <x:c r="Q10" t="n">
        <x:f>ROUND(I10*J10-K10,2)</x:f>
        <x:v>0</x:v>
      </x:c>
    </x:row>
    <x:row r="11" ht="19" customHeight="1">
      <x:c r="A11" s="14" t="str">
        <x:v>MRP-CEMENT-05</x:v>
      </x:c>
      <x:c r="B11" s="14" t="str">
        <x:v>cement</x:v>
      </x:c>
      <x:c r="C11" s="14" t="str">
        <x:v>Portland cement</x:v>
      </x:c>
      <x:c r="D11" s="14" t="str">
        <x:v>KilnWorks Materials</x:v>
      </x:c>
      <x:c r="E11" s="14" t="str">
        <x:v>2026-11-23</x:v>
      </x:c>
      <x:c r="F11" s="14" t="str">
        <x:v>2026-12-07</x:v>
      </x:c>
      <x:c r="G11" s="14" t="n">
        <x:v>5</x:v>
      </x:c>
      <x:c r="H11" s="14" t="n">
        <x:v>2</x:v>
      </x:c>
      <x:c r="I11" s="16" t="n">
        <x:v>60000</x:v>
      </x:c>
      <x:c r="J11" s="18" t="n">
        <x:v>0.16</x:v>
      </x:c>
      <x:c r="K11" s="18" t="n">
        <x:v>9600</x:v>
      </x:c>
      <x:c r="L11" s="14" t="n">
        <x:v>0</x:v>
      </x:c>
      <x:c r="M11" s="14" t="str">
        <x:v>Release on schedule</x:v>
      </x:c>
      <x:c r="N11" s="14" t="str">
        <x:v>MRP recommendation on simulated plan</x:v>
      </x:c>
      <x:c r="O11" s="14" t="n">
        <x:v>0</x:v>
      </x:c>
      <x:c r="P11" s="14" t="str">
        <x:v>2026-12-07</x:v>
      </x:c>
      <x:c r="Q11" t="n">
        <x:f>ROUND(I11*J11-K11,2)</x:f>
        <x:v>0</x:v>
      </x:c>
    </x:row>
    <x:row r="12" ht="19" customHeight="1">
      <x:c r="A12" s="14" t="str">
        <x:v>MRP-CEMENT-06</x:v>
      </x:c>
      <x:c r="B12" s="14" t="str">
        <x:v>cement</x:v>
      </x:c>
      <x:c r="C12" s="14" t="str">
        <x:v>Portland cement</x:v>
      </x:c>
      <x:c r="D12" s="14" t="str">
        <x:v>KilnWorks Materials</x:v>
      </x:c>
      <x:c r="E12" s="14" t="str">
        <x:v>2026-11-30</x:v>
      </x:c>
      <x:c r="F12" s="14" t="str">
        <x:v>2026-12-14</x:v>
      </x:c>
      <x:c r="G12" s="14" t="n">
        <x:v>6</x:v>
      </x:c>
      <x:c r="H12" s="14" t="n">
        <x:v>2</x:v>
      </x:c>
      <x:c r="I12" s="16" t="n">
        <x:v>60000</x:v>
      </x:c>
      <x:c r="J12" s="18" t="n">
        <x:v>0.16</x:v>
      </x:c>
      <x:c r="K12" s="18" t="n">
        <x:v>9600</x:v>
      </x:c>
      <x:c r="L12" s="14" t="n">
        <x:v>0</x:v>
      </x:c>
      <x:c r="M12" s="14" t="str">
        <x:v>Release on schedule</x:v>
      </x:c>
      <x:c r="N12" s="14" t="str">
        <x:v>MRP recommendation on simulated plan</x:v>
      </x:c>
      <x:c r="O12" s="14" t="n">
        <x:v>0</x:v>
      </x:c>
      <x:c r="P12" s="14" t="str">
        <x:v>2026-12-14</x:v>
      </x:c>
      <x:c r="Q12" t="n">
        <x:f>ROUND(I12*J12-K12,2)</x:f>
        <x:v>0</x:v>
      </x:c>
    </x:row>
    <x:row r="13" ht="19" customHeight="1">
      <x:c r="A13" s="14" t="str">
        <x:v>MRP-CEMENT-07</x:v>
      </x:c>
      <x:c r="B13" s="14" t="str">
        <x:v>cement</x:v>
      </x:c>
      <x:c r="C13" s="14" t="str">
        <x:v>Portland cement</x:v>
      </x:c>
      <x:c r="D13" s="14" t="str">
        <x:v>KilnWorks Materials</x:v>
      </x:c>
      <x:c r="E13" s="14" t="str">
        <x:v>2026-12-07</x:v>
      </x:c>
      <x:c r="F13" s="14" t="str">
        <x:v>2026-12-21</x:v>
      </x:c>
      <x:c r="G13" s="14" t="n">
        <x:v>7</x:v>
      </x:c>
      <x:c r="H13" s="14" t="n">
        <x:v>2</x:v>
      </x:c>
      <x:c r="I13" s="16" t="n">
        <x:v>56000</x:v>
      </x:c>
      <x:c r="J13" s="18" t="n">
        <x:v>0.16</x:v>
      </x:c>
      <x:c r="K13" s="18" t="n">
        <x:v>8960</x:v>
      </x:c>
      <x:c r="L13" s="14" t="n">
        <x:v>0</x:v>
      </x:c>
      <x:c r="M13" s="14" t="str">
        <x:v>Release on schedule</x:v>
      </x:c>
      <x:c r="N13" s="14" t="str">
        <x:v>MRP recommendation on simulated plan</x:v>
      </x:c>
      <x:c r="O13" s="14" t="n">
        <x:v>0</x:v>
      </x:c>
      <x:c r="P13" s="14" t="str">
        <x:v>2026-12-21</x:v>
      </x:c>
      <x:c r="Q13" t="n">
        <x:f>ROUND(I13*J13-K13,2)</x:f>
        <x:v>0</x:v>
      </x:c>
    </x:row>
    <x:row r="14" ht="19" customHeight="1">
      <x:c r="A14" s="14" t="str">
        <x:v>MRP-CEMENT-08</x:v>
      </x:c>
      <x:c r="B14" s="14" t="str">
        <x:v>cement</x:v>
      </x:c>
      <x:c r="C14" s="14" t="str">
        <x:v>Portland cement</x:v>
      </x:c>
      <x:c r="D14" s="14" t="str">
        <x:v>KilnWorks Materials</x:v>
      </x:c>
      <x:c r="E14" s="14" t="str">
        <x:v>2026-12-14</x:v>
      </x:c>
      <x:c r="F14" s="14" t="str">
        <x:v>2026-12-28</x:v>
      </x:c>
      <x:c r="G14" s="14" t="n">
        <x:v>8</x:v>
      </x:c>
      <x:c r="H14" s="14" t="n">
        <x:v>2</x:v>
      </x:c>
      <x:c r="I14" s="16" t="n">
        <x:v>56000</x:v>
      </x:c>
      <x:c r="J14" s="18" t="n">
        <x:v>0.16</x:v>
      </x:c>
      <x:c r="K14" s="18" t="n">
        <x:v>8960</x:v>
      </x:c>
      <x:c r="L14" s="14" t="n">
        <x:v>0</x:v>
      </x:c>
      <x:c r="M14" s="14" t="str">
        <x:v>Release on schedule</x:v>
      </x:c>
      <x:c r="N14" s="14" t="str">
        <x:v>MRP recommendation on simulated plan</x:v>
      </x:c>
      <x:c r="O14" s="14" t="n">
        <x:v>0</x:v>
      </x:c>
      <x:c r="P14" s="14" t="str">
        <x:v>2026-12-28</x:v>
      </x:c>
      <x:c r="Q14" t="n">
        <x:f>ROUND(I14*J14-K14,2)</x:f>
        <x:v>0</x:v>
      </x:c>
    </x:row>
    <x:row r="15" ht="19" customHeight="1">
      <x:c r="A15" s="14" t="str">
        <x:v>MRP-CEMENT-09</x:v>
      </x:c>
      <x:c r="B15" s="14" t="str">
        <x:v>cement</x:v>
      </x:c>
      <x:c r="C15" s="14" t="str">
        <x:v>Portland cement</x:v>
      </x:c>
      <x:c r="D15" s="14" t="str">
        <x:v>KilnWorks Materials</x:v>
      </x:c>
      <x:c r="E15" s="14" t="str">
        <x:v>2026-12-21</x:v>
      </x:c>
      <x:c r="F15" s="14" t="str">
        <x:v>2027-01-04</x:v>
      </x:c>
      <x:c r="G15" s="14" t="n">
        <x:v>9</x:v>
      </x:c>
      <x:c r="H15" s="14" t="n">
        <x:v>2</x:v>
      </x:c>
      <x:c r="I15" s="16" t="n">
        <x:v>52000</x:v>
      </x:c>
      <x:c r="J15" s="18" t="n">
        <x:v>0.16</x:v>
      </x:c>
      <x:c r="K15" s="18" t="n">
        <x:v>8320</x:v>
      </x:c>
      <x:c r="L15" s="14" t="n">
        <x:v>0</x:v>
      </x:c>
      <x:c r="M15" s="14" t="str">
        <x:v>Release on schedule</x:v>
      </x:c>
      <x:c r="N15" s="14" t="str">
        <x:v>MRP recommendation on simulated plan</x:v>
      </x:c>
      <x:c r="O15" s="14" t="n">
        <x:v>0</x:v>
      </x:c>
      <x:c r="P15" s="14" t="str">
        <x:v>2027-01-04</x:v>
      </x:c>
      <x:c r="Q15" t="n">
        <x:f>ROUND(I15*J15-K15,2)</x:f>
        <x:v>0</x:v>
      </x:c>
    </x:row>
    <x:row r="16" ht="19" customHeight="1">
      <x:c r="A16" s="14" t="str">
        <x:v>MRP-CEMENT-10</x:v>
      </x:c>
      <x:c r="B16" s="14" t="str">
        <x:v>cement</x:v>
      </x:c>
      <x:c r="C16" s="14" t="str">
        <x:v>Portland cement</x:v>
      </x:c>
      <x:c r="D16" s="14" t="str">
        <x:v>KilnWorks Materials</x:v>
      </x:c>
      <x:c r="E16" s="14" t="str">
        <x:v>2026-12-28</x:v>
      </x:c>
      <x:c r="F16" s="14" t="str">
        <x:v>2027-01-11</x:v>
      </x:c>
      <x:c r="G16" s="14" t="n">
        <x:v>10</x:v>
      </x:c>
      <x:c r="H16" s="14" t="n">
        <x:v>2</x:v>
      </x:c>
      <x:c r="I16" s="16" t="n">
        <x:v>56000</x:v>
      </x:c>
      <x:c r="J16" s="18" t="n">
        <x:v>0.16</x:v>
      </x:c>
      <x:c r="K16" s="18" t="n">
        <x:v>8960</x:v>
      </x:c>
      <x:c r="L16" s="14" t="n">
        <x:v>0</x:v>
      </x:c>
      <x:c r="M16" s="14" t="str">
        <x:v>Release on schedule</x:v>
      </x:c>
      <x:c r="N16" s="14" t="str">
        <x:v>MRP recommendation on simulated plan</x:v>
      </x:c>
      <x:c r="O16" s="14" t="n">
        <x:v>0</x:v>
      </x:c>
      <x:c r="P16" s="14" t="str">
        <x:v>2027-01-11</x:v>
      </x:c>
      <x:c r="Q16" t="n">
        <x:f>ROUND(I16*J16-K16,2)</x:f>
        <x:v>0</x:v>
      </x:c>
    </x:row>
    <x:row r="17" ht="19" customHeight="1">
      <x:c r="A17" s="14" t="str">
        <x:v>MRP-CEMENT-11</x:v>
      </x:c>
      <x:c r="B17" s="14" t="str">
        <x:v>cement</x:v>
      </x:c>
      <x:c r="C17" s="14" t="str">
        <x:v>Portland cement</x:v>
      </x:c>
      <x:c r="D17" s="14" t="str">
        <x:v>KilnWorks Materials</x:v>
      </x:c>
      <x:c r="E17" s="14" t="str">
        <x:v>2027-01-04</x:v>
      </x:c>
      <x:c r="F17" s="14" t="str">
        <x:v>2027-01-18</x:v>
      </x:c>
      <x:c r="G17" s="14" t="n">
        <x:v>11</x:v>
      </x:c>
      <x:c r="H17" s="14" t="n">
        <x:v>2</x:v>
      </x:c>
      <x:c r="I17" s="16" t="n">
        <x:v>56000</x:v>
      </x:c>
      <x:c r="J17" s="18" t="n">
        <x:v>0.16</x:v>
      </x:c>
      <x:c r="K17" s="18" t="n">
        <x:v>8960</x:v>
      </x:c>
      <x:c r="L17" s="14" t="n">
        <x:v>0</x:v>
      </x:c>
      <x:c r="M17" s="14" t="str">
        <x:v>Release on schedule</x:v>
      </x:c>
      <x:c r="N17" s="14" t="str">
        <x:v>MRP recommendation on simulated plan</x:v>
      </x:c>
      <x:c r="O17" s="14" t="n">
        <x:v>0</x:v>
      </x:c>
      <x:c r="P17" s="14" t="str">
        <x:v>2027-01-18</x:v>
      </x:c>
      <x:c r="Q17" t="n">
        <x:f>ROUND(I17*J17-K17,2)</x:f>
        <x:v>0</x:v>
      </x:c>
    </x:row>
    <x:row r="18" ht="19" customHeight="1">
      <x:c r="A18" s="14" t="str">
        <x:v>MRP-SLAG-00</x:v>
      </x:c>
      <x:c r="B18" s="14" t="str">
        <x:v>slag</x:v>
      </x:c>
      <x:c r="C18" s="14" t="str">
        <x:v>Ground blast furnace slag</x:v>
      </x:c>
      <x:c r="D18" s="14" t="str">
        <x:v>GreenBind Minerals</x:v>
      </x:c>
      <x:c r="E18" s="14" t="str">
        <x:v>2026-10-12</x:v>
      </x:c>
      <x:c r="F18" s="14" t="str">
        <x:v>2026-11-02</x:v>
      </x:c>
      <x:c r="G18" s="14" t="n">
        <x:v>0</x:v>
      </x:c>
      <x:c r="H18" s="14" t="n">
        <x:v>3</x:v>
      </x:c>
      <x:c r="I18" s="16" t="n">
        <x:v>26000</x:v>
      </x:c>
      <x:c r="J18" s="18" t="n">
        <x:v>0.092</x:v>
      </x:c>
      <x:c r="K18" s="18" t="n">
        <x:v>2392</x:v>
      </x:c>
      <x:c r="L18" s="14" t="n">
        <x:v>1</x:v>
      </x:c>
      <x:c r="M18" s="14" t="str">
        <x:v>Expedite requested date / negotiate</x:v>
      </x:c>
      <x:c r="N18" s="14" t="str">
        <x:v>MRP recommendation on simulated plan</x:v>
      </x:c>
      <x:c r="O18" s="14" t="n">
        <x:v>2</x:v>
      </x:c>
      <x:c r="P18" s="14" t="str">
        <x:v>2026-11-16</x:v>
      </x:c>
      <x:c r="Q18" t="n">
        <x:f>ROUND(I18*J18-K18,2)</x:f>
        <x:v>0</x:v>
      </x:c>
    </x:row>
    <x:row r="19" ht="19" customHeight="1">
      <x:c r="A19" s="14" t="str">
        <x:v>MRP-SLAG-01</x:v>
      </x:c>
      <x:c r="B19" s="14" t="str">
        <x:v>slag</x:v>
      </x:c>
      <x:c r="C19" s="14" t="str">
        <x:v>Ground blast furnace slag</x:v>
      </x:c>
      <x:c r="D19" s="14" t="str">
        <x:v>GreenBind Minerals</x:v>
      </x:c>
      <x:c r="E19" s="14" t="str">
        <x:v>2026-10-19</x:v>
      </x:c>
      <x:c r="F19" s="14" t="str">
        <x:v>2026-11-09</x:v>
      </x:c>
      <x:c r="G19" s="14" t="n">
        <x:v>1</x:v>
      </x:c>
      <x:c r="H19" s="14" t="n">
        <x:v>3</x:v>
      </x:c>
      <x:c r="I19" s="16" t="n">
        <x:v>42000</x:v>
      </x:c>
      <x:c r="J19" s="18" t="n">
        <x:v>0.092</x:v>
      </x:c>
      <x:c r="K19" s="18" t="n">
        <x:v>3864</x:v>
      </x:c>
      <x:c r="L19" s="14" t="n">
        <x:v>1</x:v>
      </x:c>
      <x:c r="M19" s="14" t="str">
        <x:v>Expedite requested date / negotiate</x:v>
      </x:c>
      <x:c r="N19" s="14" t="str">
        <x:v>MRP recommendation on simulated plan</x:v>
      </x:c>
      <x:c r="O19" s="14" t="n">
        <x:v>1</x:v>
      </x:c>
      <x:c r="P19" s="14" t="str">
        <x:v>2026-11-16</x:v>
      </x:c>
      <x:c r="Q19" t="n">
        <x:f>ROUND(I19*J19-K19,2)</x:f>
        <x:v>0</x:v>
      </x:c>
    </x:row>
    <x:row r="20" ht="19" customHeight="1">
      <x:c r="A20" s="14" t="str">
        <x:v>MRP-SLAG-02</x:v>
      </x:c>
      <x:c r="B20" s="14" t="str">
        <x:v>slag</x:v>
      </x:c>
      <x:c r="C20" s="14" t="str">
        <x:v>Ground blast furnace slag</x:v>
      </x:c>
      <x:c r="D20" s="14" t="str">
        <x:v>GreenBind Minerals</x:v>
      </x:c>
      <x:c r="E20" s="14" t="str">
        <x:v>2026-10-26</x:v>
      </x:c>
      <x:c r="F20" s="14" t="str">
        <x:v>2026-11-16</x:v>
      </x:c>
      <x:c r="G20" s="14" t="n">
        <x:v>2</x:v>
      </x:c>
      <x:c r="H20" s="14" t="n">
        <x:v>3</x:v>
      </x:c>
      <x:c r="I20" s="16" t="n">
        <x:v>16000</x:v>
      </x:c>
      <x:c r="J20" s="18" t="n">
        <x:v>0.092</x:v>
      </x:c>
      <x:c r="K20" s="18" t="n">
        <x:v>1472</x:v>
      </x:c>
      <x:c r="L20" s="14" t="n">
        <x:v>0</x:v>
      </x:c>
      <x:c r="M20" s="14" t="str">
        <x:v>Release on schedule</x:v>
      </x:c>
      <x:c r="N20" s="14" t="str">
        <x:v>MRP recommendation on simulated plan</x:v>
      </x:c>
      <x:c r="O20" s="14" t="n">
        <x:v>0</x:v>
      </x:c>
      <x:c r="P20" s="14" t="str">
        <x:v>2026-11-16</x:v>
      </x:c>
      <x:c r="Q20" t="n">
        <x:f>ROUND(I20*J20-K20,2)</x:f>
        <x:v>0</x:v>
      </x:c>
    </x:row>
    <x:row r="21" ht="19" customHeight="1">
      <x:c r="A21" s="14" t="str">
        <x:v>MRP-SLAG-03</x:v>
      </x:c>
      <x:c r="B21" s="14" t="str">
        <x:v>slag</x:v>
      </x:c>
      <x:c r="C21" s="14" t="str">
        <x:v>Ground blast furnace slag</x:v>
      </x:c>
      <x:c r="D21" s="14" t="str">
        <x:v>GreenBind Minerals</x:v>
      </x:c>
      <x:c r="E21" s="14" t="str">
        <x:v>2026-11-02</x:v>
      </x:c>
      <x:c r="F21" s="14" t="str">
        <x:v>2026-11-23</x:v>
      </x:c>
      <x:c r="G21" s="14" t="n">
        <x:v>3</x:v>
      </x:c>
      <x:c r="H21" s="14" t="n">
        <x:v>3</x:v>
      </x:c>
      <x:c r="I21" s="16" t="n">
        <x:v>46000</x:v>
      </x:c>
      <x:c r="J21" s="18" t="n">
        <x:v>0.092</x:v>
      </x:c>
      <x:c r="K21" s="18" t="n">
        <x:v>4232</x:v>
      </x:c>
      <x:c r="L21" s="14" t="n">
        <x:v>0</x:v>
      </x:c>
      <x:c r="M21" s="14" t="str">
        <x:v>Release on schedule</x:v>
      </x:c>
      <x:c r="N21" s="14" t="str">
        <x:v>MRP recommendation on simulated plan</x:v>
      </x:c>
      <x:c r="O21" s="14" t="n">
        <x:v>0</x:v>
      </x:c>
      <x:c r="P21" s="14" t="str">
        <x:v>2026-11-23</x:v>
      </x:c>
      <x:c r="Q21" t="n">
        <x:f>ROUND(I21*J21-K21,2)</x:f>
        <x:v>0</x:v>
      </x:c>
    </x:row>
    <x:row r="22" ht="19" customHeight="1">
      <x:c r="A22" s="14" t="str">
        <x:v>MRP-SLAG-04</x:v>
      </x:c>
      <x:c r="B22" s="14" t="str">
        <x:v>slag</x:v>
      </x:c>
      <x:c r="C22" s="14" t="str">
        <x:v>Ground blast furnace slag</x:v>
      </x:c>
      <x:c r="D22" s="14" t="str">
        <x:v>GreenBind Minerals</x:v>
      </x:c>
      <x:c r="E22" s="14" t="str">
        <x:v>2026-11-09</x:v>
      </x:c>
      <x:c r="F22" s="14" t="str">
        <x:v>2026-11-30</x:v>
      </x:c>
      <x:c r="G22" s="14" t="n">
        <x:v>4</x:v>
      </x:c>
      <x:c r="H22" s="14" t="n">
        <x:v>3</x:v>
      </x:c>
      <x:c r="I22" s="16" t="n">
        <x:v>42000</x:v>
      </x:c>
      <x:c r="J22" s="18" t="n">
        <x:v>0.092</x:v>
      </x:c>
      <x:c r="K22" s="18" t="n">
        <x:v>3864</x:v>
      </x:c>
      <x:c r="L22" s="14" t="n">
        <x:v>0</x:v>
      </x:c>
      <x:c r="M22" s="14" t="str">
        <x:v>Release on schedule</x:v>
      </x:c>
      <x:c r="N22" s="14" t="str">
        <x:v>MRP recommendation on simulated plan</x:v>
      </x:c>
      <x:c r="O22" s="14" t="n">
        <x:v>0</x:v>
      </x:c>
      <x:c r="P22" s="14" t="str">
        <x:v>2026-11-30</x:v>
      </x:c>
      <x:c r="Q22" t="n">
        <x:f>ROUND(I22*J22-K22,2)</x:f>
        <x:v>0</x:v>
      </x:c>
    </x:row>
    <x:row r="23" ht="19" customHeight="1">
      <x:c r="A23" s="14" t="str">
        <x:v>MRP-SLAG-05</x:v>
      </x:c>
      <x:c r="B23" s="14" t="str">
        <x:v>slag</x:v>
      </x:c>
      <x:c r="C23" s="14" t="str">
        <x:v>Ground blast furnace slag</x:v>
      </x:c>
      <x:c r="D23" s="14" t="str">
        <x:v>GreenBind Minerals</x:v>
      </x:c>
      <x:c r="E23" s="14" t="str">
        <x:v>2026-11-16</x:v>
      </x:c>
      <x:c r="F23" s="14" t="str">
        <x:v>2026-12-07</x:v>
      </x:c>
      <x:c r="G23" s="14" t="n">
        <x:v>5</x:v>
      </x:c>
      <x:c r="H23" s="14" t="n">
        <x:v>3</x:v>
      </x:c>
      <x:c r="I23" s="16" t="n">
        <x:v>40000</x:v>
      </x:c>
      <x:c r="J23" s="18" t="n">
        <x:v>0.092</x:v>
      </x:c>
      <x:c r="K23" s="18" t="n">
        <x:v>3680</x:v>
      </x:c>
      <x:c r="L23" s="14" t="n">
        <x:v>0</x:v>
      </x:c>
      <x:c r="M23" s="14" t="str">
        <x:v>Release on schedule</x:v>
      </x:c>
      <x:c r="N23" s="14" t="str">
        <x:v>MRP recommendation on simulated plan</x:v>
      </x:c>
      <x:c r="O23" s="14" t="n">
        <x:v>0</x:v>
      </x:c>
      <x:c r="P23" s="14" t="str">
        <x:v>2026-12-07</x:v>
      </x:c>
      <x:c r="Q23" t="n">
        <x:f>ROUND(I23*J23-K23,2)</x:f>
        <x:v>0</x:v>
      </x:c>
    </x:row>
    <x:row r="24" ht="19" customHeight="1">
      <x:c r="A24" s="14" t="str">
        <x:v>MRP-SLAG-06</x:v>
      </x:c>
      <x:c r="B24" s="14" t="str">
        <x:v>slag</x:v>
      </x:c>
      <x:c r="C24" s="14" t="str">
        <x:v>Ground blast furnace slag</x:v>
      </x:c>
      <x:c r="D24" s="14" t="str">
        <x:v>GreenBind Minerals</x:v>
      </x:c>
      <x:c r="E24" s="14" t="str">
        <x:v>2026-11-23</x:v>
      </x:c>
      <x:c r="F24" s="14" t="str">
        <x:v>2026-12-14</x:v>
      </x:c>
      <x:c r="G24" s="14" t="n">
        <x:v>6</x:v>
      </x:c>
      <x:c r="H24" s="14" t="n">
        <x:v>3</x:v>
      </x:c>
      <x:c r="I24" s="16" t="n">
        <x:v>38000</x:v>
      </x:c>
      <x:c r="J24" s="18" t="n">
        <x:v>0.092</x:v>
      </x:c>
      <x:c r="K24" s="18" t="n">
        <x:v>3496</x:v>
      </x:c>
      <x:c r="L24" s="14" t="n">
        <x:v>0</x:v>
      </x:c>
      <x:c r="M24" s="14" t="str">
        <x:v>Release on schedule</x:v>
      </x:c>
      <x:c r="N24" s="14" t="str">
        <x:v>MRP recommendation on simulated plan</x:v>
      </x:c>
      <x:c r="O24" s="14" t="n">
        <x:v>0</x:v>
      </x:c>
      <x:c r="P24" s="14" t="str">
        <x:v>2026-12-14</x:v>
      </x:c>
      <x:c r="Q24" t="n">
        <x:f>ROUND(I24*J24-K24,2)</x:f>
        <x:v>0</x:v>
      </x:c>
    </x:row>
    <x:row r="25" ht="19" customHeight="1">
      <x:c r="A25" s="14" t="str">
        <x:v>MRP-SLAG-07</x:v>
      </x:c>
      <x:c r="B25" s="14" t="str">
        <x:v>slag</x:v>
      </x:c>
      <x:c r="C25" s="14" t="str">
        <x:v>Ground blast furnace slag</x:v>
      </x:c>
      <x:c r="D25" s="14" t="str">
        <x:v>GreenBind Minerals</x:v>
      </x:c>
      <x:c r="E25" s="14" t="str">
        <x:v>2026-11-30</x:v>
      </x:c>
      <x:c r="F25" s="14" t="str">
        <x:v>2026-12-21</x:v>
      </x:c>
      <x:c r="G25" s="14" t="n">
        <x:v>7</x:v>
      </x:c>
      <x:c r="H25" s="14" t="n">
        <x:v>3</x:v>
      </x:c>
      <x:c r="I25" s="16" t="n">
        <x:v>40000</x:v>
      </x:c>
      <x:c r="J25" s="18" t="n">
        <x:v>0.092</x:v>
      </x:c>
      <x:c r="K25" s="18" t="n">
        <x:v>3680</x:v>
      </x:c>
      <x:c r="L25" s="14" t="n">
        <x:v>0</x:v>
      </x:c>
      <x:c r="M25" s="14" t="str">
        <x:v>Release on schedule</x:v>
      </x:c>
      <x:c r="N25" s="14" t="str">
        <x:v>MRP recommendation on simulated plan</x:v>
      </x:c>
      <x:c r="O25" s="14" t="n">
        <x:v>0</x:v>
      </x:c>
      <x:c r="P25" s="14" t="str">
        <x:v>2026-12-21</x:v>
      </x:c>
      <x:c r="Q25" t="n">
        <x:f>ROUND(I25*J25-K25,2)</x:f>
        <x:v>0</x:v>
      </x:c>
    </x:row>
    <x:row r="26" ht="19" customHeight="1">
      <x:c r="A26" s="14" t="str">
        <x:v>MRP-SLAG-08</x:v>
      </x:c>
      <x:c r="B26" s="14" t="str">
        <x:v>slag</x:v>
      </x:c>
      <x:c r="C26" s="14" t="str">
        <x:v>Ground blast furnace slag</x:v>
      </x:c>
      <x:c r="D26" s="14" t="str">
        <x:v>GreenBind Minerals</x:v>
      </x:c>
      <x:c r="E26" s="14" t="str">
        <x:v>2026-12-07</x:v>
      </x:c>
      <x:c r="F26" s="14" t="str">
        <x:v>2026-12-28</x:v>
      </x:c>
      <x:c r="G26" s="14" t="n">
        <x:v>8</x:v>
      </x:c>
      <x:c r="H26" s="14" t="n">
        <x:v>3</x:v>
      </x:c>
      <x:c r="I26" s="16" t="n">
        <x:v>34000</x:v>
      </x:c>
      <x:c r="J26" s="18" t="n">
        <x:v>0.092</x:v>
      </x:c>
      <x:c r="K26" s="18" t="n">
        <x:v>3128</x:v>
      </x:c>
      <x:c r="L26" s="14" t="n">
        <x:v>0</x:v>
      </x:c>
      <x:c r="M26" s="14" t="str">
        <x:v>Release on schedule</x:v>
      </x:c>
      <x:c r="N26" s="14" t="str">
        <x:v>MRP recommendation on simulated plan</x:v>
      </x:c>
      <x:c r="O26" s="14" t="n">
        <x:v>0</x:v>
      </x:c>
      <x:c r="P26" s="14" t="str">
        <x:v>2026-12-28</x:v>
      </x:c>
      <x:c r="Q26" t="n">
        <x:f>ROUND(I26*J26-K26,2)</x:f>
        <x:v>0</x:v>
      </x:c>
    </x:row>
    <x:row r="27" ht="19" customHeight="1">
      <x:c r="A27" s="14" t="str">
        <x:v>MRP-SLAG-09</x:v>
      </x:c>
      <x:c r="B27" s="14" t="str">
        <x:v>slag</x:v>
      </x:c>
      <x:c r="C27" s="14" t="str">
        <x:v>Ground blast furnace slag</x:v>
      </x:c>
      <x:c r="D27" s="14" t="str">
        <x:v>GreenBind Minerals</x:v>
      </x:c>
      <x:c r="E27" s="14" t="str">
        <x:v>2026-12-14</x:v>
      </x:c>
      <x:c r="F27" s="14" t="str">
        <x:v>2027-01-04</x:v>
      </x:c>
      <x:c r="G27" s="14" t="n">
        <x:v>9</x:v>
      </x:c>
      <x:c r="H27" s="14" t="n">
        <x:v>3</x:v>
      </x:c>
      <x:c r="I27" s="16" t="n">
        <x:v>34000</x:v>
      </x:c>
      <x:c r="J27" s="18" t="n">
        <x:v>0.092</x:v>
      </x:c>
      <x:c r="K27" s="18" t="n">
        <x:v>3128</x:v>
      </x:c>
      <x:c r="L27" s="14" t="n">
        <x:v>0</x:v>
      </x:c>
      <x:c r="M27" s="14" t="str">
        <x:v>Release on schedule</x:v>
      </x:c>
      <x:c r="N27" s="14" t="str">
        <x:v>MRP recommendation on simulated plan</x:v>
      </x:c>
      <x:c r="O27" s="14" t="n">
        <x:v>0</x:v>
      </x:c>
      <x:c r="P27" s="14" t="str">
        <x:v>2027-01-04</x:v>
      </x:c>
      <x:c r="Q27" t="n">
        <x:f>ROUND(I27*J27-K27,2)</x:f>
        <x:v>0</x:v>
      </x:c>
    </x:row>
    <x:row r="28" ht="19" customHeight="1">
      <x:c r="A28" s="14" t="str">
        <x:v>MRP-SLAG-10</x:v>
      </x:c>
      <x:c r="B28" s="14" t="str">
        <x:v>slag</x:v>
      </x:c>
      <x:c r="C28" s="14" t="str">
        <x:v>Ground blast furnace slag</x:v>
      </x:c>
      <x:c r="D28" s="14" t="str">
        <x:v>GreenBind Minerals</x:v>
      </x:c>
      <x:c r="E28" s="14" t="str">
        <x:v>2026-12-21</x:v>
      </x:c>
      <x:c r="F28" s="14" t="str">
        <x:v>2027-01-11</x:v>
      </x:c>
      <x:c r="G28" s="14" t="n">
        <x:v>10</x:v>
      </x:c>
      <x:c r="H28" s="14" t="n">
        <x:v>3</x:v>
      </x:c>
      <x:c r="I28" s="16" t="n">
        <x:v>38000</x:v>
      </x:c>
      <x:c r="J28" s="18" t="n">
        <x:v>0.092</x:v>
      </x:c>
      <x:c r="K28" s="18" t="n">
        <x:v>3496</x:v>
      </x:c>
      <x:c r="L28" s="14" t="n">
        <x:v>0</x:v>
      </x:c>
      <x:c r="M28" s="14" t="str">
        <x:v>Release on schedule</x:v>
      </x:c>
      <x:c r="N28" s="14" t="str">
        <x:v>MRP recommendation on simulated plan</x:v>
      </x:c>
      <x:c r="O28" s="14" t="n">
        <x:v>0</x:v>
      </x:c>
      <x:c r="P28" s="14" t="str">
        <x:v>2027-01-11</x:v>
      </x:c>
      <x:c r="Q28" t="n">
        <x:f>ROUND(I28*J28-K28,2)</x:f>
        <x:v>0</x:v>
      </x:c>
    </x:row>
    <x:row r="29" ht="19" customHeight="1">
      <x:c r="A29" s="14" t="str">
        <x:v>MRP-SLAG-11</x:v>
      </x:c>
      <x:c r="B29" s="14" t="str">
        <x:v>slag</x:v>
      </x:c>
      <x:c r="C29" s="14" t="str">
        <x:v>Ground blast furnace slag</x:v>
      </x:c>
      <x:c r="D29" s="14" t="str">
        <x:v>GreenBind Minerals</x:v>
      </x:c>
      <x:c r="E29" s="14" t="str">
        <x:v>2026-12-28</x:v>
      </x:c>
      <x:c r="F29" s="14" t="str">
        <x:v>2027-01-18</x:v>
      </x:c>
      <x:c r="G29" s="14" t="n">
        <x:v>11</x:v>
      </x:c>
      <x:c r="H29" s="14" t="n">
        <x:v>3</x:v>
      </x:c>
      <x:c r="I29" s="16" t="n">
        <x:v>36000</x:v>
      </x:c>
      <x:c r="J29" s="18" t="n">
        <x:v>0.092</x:v>
      </x:c>
      <x:c r="K29" s="18" t="n">
        <x:v>3312</x:v>
      </x:c>
      <x:c r="L29" s="14" t="n">
        <x:v>0</x:v>
      </x:c>
      <x:c r="M29" s="14" t="str">
        <x:v>Release on schedule</x:v>
      </x:c>
      <x:c r="N29" s="14" t="str">
        <x:v>MRP recommendation on simulated plan</x:v>
      </x:c>
      <x:c r="O29" s="14" t="n">
        <x:v>0</x:v>
      </x:c>
      <x:c r="P29" s="14" t="str">
        <x:v>2027-01-18</x:v>
      </x:c>
      <x:c r="Q29" t="n">
        <x:f>ROUND(I29*J29-K29,2)</x:f>
        <x:v>0</x:v>
      </x:c>
    </x:row>
    <x:row r="30" ht="19" customHeight="1">
      <x:c r="A30" s="14" t="str">
        <x:v>MRP-WATER-00</x:v>
      </x:c>
      <x:c r="B30" s="14" t="str">
        <x:v>water</x:v>
      </x:c>
      <x:c r="C30" s="14" t="str">
        <x:v>Mixing water</x:v>
      </x:c>
      <x:c r="D30" s="14" t="str">
        <x:v>Plant Utility</x:v>
      </x:c>
      <x:c r="E30" s="14" t="str">
        <x:v>2026-11-02</x:v>
      </x:c>
      <x:c r="F30" s="14" t="str">
        <x:v>2026-11-02</x:v>
      </x:c>
      <x:c r="G30" s="14" t="n">
        <x:v>0</x:v>
      </x:c>
      <x:c r="H30" s="14" t="n">
        <x:v>0</x:v>
      </x:c>
      <x:c r="I30" s="16" t="n">
        <x:v>5000</x:v>
      </x:c>
      <x:c r="J30" s="18" t="n">
        <x:v>0.004</x:v>
      </x:c>
      <x:c r="K30" s="18" t="n">
        <x:v>20</x:v>
      </x:c>
      <x:c r="L30" s="14" t="n">
        <x:v>0</x:v>
      </x:c>
      <x:c r="M30" s="14" t="str">
        <x:v>Release on schedule</x:v>
      </x:c>
      <x:c r="N30" s="14" t="str">
        <x:v>MRP recommendation on simulated plan</x:v>
      </x:c>
      <x:c r="O30" s="14" t="n">
        <x:v>0</x:v>
      </x:c>
      <x:c r="P30" s="14" t="str">
        <x:v>2026-11-02</x:v>
      </x:c>
      <x:c r="Q30" t="n">
        <x:f>ROUND(I30*J30-K30,2)</x:f>
        <x:v>0</x:v>
      </x:c>
    </x:row>
    <x:row r="31" ht="19" customHeight="1">
      <x:c r="A31" s="14" t="str">
        <x:v>MRP-WATER-01</x:v>
      </x:c>
      <x:c r="B31" s="14" t="str">
        <x:v>water</x:v>
      </x:c>
      <x:c r="C31" s="14" t="str">
        <x:v>Mixing water</x:v>
      </x:c>
      <x:c r="D31" s="14" t="str">
        <x:v>Plant Utility</x:v>
      </x:c>
      <x:c r="E31" s="14" t="str">
        <x:v>2026-11-09</x:v>
      </x:c>
      <x:c r="F31" s="14" t="str">
        <x:v>2026-11-09</x:v>
      </x:c>
      <x:c r="G31" s="14" t="n">
        <x:v>1</x:v>
      </x:c>
      <x:c r="H31" s="14" t="n">
        <x:v>0</x:v>
      </x:c>
      <x:c r="I31" s="16" t="n">
        <x:v>41000</x:v>
      </x:c>
      <x:c r="J31" s="18" t="n">
        <x:v>0.004</x:v>
      </x:c>
      <x:c r="K31" s="18" t="n">
        <x:v>164</x:v>
      </x:c>
      <x:c r="L31" s="14" t="n">
        <x:v>0</x:v>
      </x:c>
      <x:c r="M31" s="14" t="str">
        <x:v>Release on schedule</x:v>
      </x:c>
      <x:c r="N31" s="14" t="str">
        <x:v>MRP recommendation on simulated plan</x:v>
      </x:c>
      <x:c r="O31" s="14" t="n">
        <x:v>0</x:v>
      </x:c>
      <x:c r="P31" s="14" t="str">
        <x:v>2026-11-09</x:v>
      </x:c>
      <x:c r="Q31" t="n">
        <x:f>ROUND(I31*J31-K31,2)</x:f>
        <x:v>0</x:v>
      </x:c>
    </x:row>
    <x:row r="32" ht="19" customHeight="1">
      <x:c r="A32" s="14" t="str">
        <x:v>MRP-WATER-02</x:v>
      </x:c>
      <x:c r="B32" s="14" t="str">
        <x:v>water</x:v>
      </x:c>
      <x:c r="C32" s="14" t="str">
        <x:v>Mixing water</x:v>
      </x:c>
      <x:c r="D32" s="14" t="str">
        <x:v>Plant Utility</x:v>
      </x:c>
      <x:c r="E32" s="14" t="str">
        <x:v>2026-11-16</x:v>
      </x:c>
      <x:c r="F32" s="14" t="str">
        <x:v>2026-11-16</x:v>
      </x:c>
      <x:c r="G32" s="14" t="n">
        <x:v>2</x:v>
      </x:c>
      <x:c r="H32" s="14" t="n">
        <x:v>0</x:v>
      </x:c>
      <x:c r="I32" s="16" t="n">
        <x:v>51000</x:v>
      </x:c>
      <x:c r="J32" s="18" t="n">
        <x:v>0.004</x:v>
      </x:c>
      <x:c r="K32" s="18" t="n">
        <x:v>204</x:v>
      </x:c>
      <x:c r="L32" s="14" t="n">
        <x:v>0</x:v>
      </x:c>
      <x:c r="M32" s="14" t="str">
        <x:v>Release on schedule</x:v>
      </x:c>
      <x:c r="N32" s="14" t="str">
        <x:v>MRP recommendation on simulated plan</x:v>
      </x:c>
      <x:c r="O32" s="14" t="n">
        <x:v>0</x:v>
      </x:c>
      <x:c r="P32" s="14" t="str">
        <x:v>2026-11-16</x:v>
      </x:c>
      <x:c r="Q32" t="n">
        <x:f>ROUND(I32*J32-K32,2)</x:f>
        <x:v>0</x:v>
      </x:c>
    </x:row>
    <x:row r="33" ht="19" customHeight="1">
      <x:c r="A33" s="14" t="str">
        <x:v>MRP-WATER-03</x:v>
      </x:c>
      <x:c r="B33" s="14" t="str">
        <x:v>water</x:v>
      </x:c>
      <x:c r="C33" s="14" t="str">
        <x:v>Mixing water</x:v>
      </x:c>
      <x:c r="D33" s="14" t="str">
        <x:v>Plant Utility</x:v>
      </x:c>
      <x:c r="E33" s="14" t="str">
        <x:v>2026-11-23</x:v>
      </x:c>
      <x:c r="F33" s="14" t="str">
        <x:v>2026-11-23</x:v>
      </x:c>
      <x:c r="G33" s="14" t="n">
        <x:v>3</x:v>
      </x:c>
      <x:c r="H33" s="14" t="n">
        <x:v>0</x:v>
      </x:c>
      <x:c r="I33" s="16" t="n">
        <x:v>58000</x:v>
      </x:c>
      <x:c r="J33" s="18" t="n">
        <x:v>0.004</x:v>
      </x:c>
      <x:c r="K33" s="18" t="n">
        <x:v>232</x:v>
      </x:c>
      <x:c r="L33" s="14" t="n">
        <x:v>0</x:v>
      </x:c>
      <x:c r="M33" s="14" t="str">
        <x:v>Release on schedule</x:v>
      </x:c>
      <x:c r="N33" s="14" t="str">
        <x:v>MRP recommendation on simulated plan</x:v>
      </x:c>
      <x:c r="O33" s="14" t="n">
        <x:v>0</x:v>
      </x:c>
      <x:c r="P33" s="14" t="str">
        <x:v>2026-11-23</x:v>
      </x:c>
      <x:c r="Q33" t="n">
        <x:f>ROUND(I33*J33-K33,2)</x:f>
        <x:v>0</x:v>
      </x:c>
    </x:row>
    <x:row r="34" ht="19" customHeight="1">
      <x:c r="A34" s="14" t="str">
        <x:v>MRP-WATER-04</x:v>
      </x:c>
      <x:c r="B34" s="14" t="str">
        <x:v>water</x:v>
      </x:c>
      <x:c r="C34" s="14" t="str">
        <x:v>Mixing water</x:v>
      </x:c>
      <x:c r="D34" s="14" t="str">
        <x:v>Plant Utility</x:v>
      </x:c>
      <x:c r="E34" s="14" t="str">
        <x:v>2026-11-30</x:v>
      </x:c>
      <x:c r="F34" s="14" t="str">
        <x:v>2026-11-30</x:v>
      </x:c>
      <x:c r="G34" s="14" t="n">
        <x:v>4</x:v>
      </x:c>
      <x:c r="H34" s="14" t="n">
        <x:v>0</x:v>
      </x:c>
      <x:c r="I34" s="16" t="n">
        <x:v>60000</x:v>
      </x:c>
      <x:c r="J34" s="18" t="n">
        <x:v>0.004</x:v>
      </x:c>
      <x:c r="K34" s="18" t="n">
        <x:v>240</x:v>
      </x:c>
      <x:c r="L34" s="14" t="n">
        <x:v>0</x:v>
      </x:c>
      <x:c r="M34" s="14" t="str">
        <x:v>Release on schedule</x:v>
      </x:c>
      <x:c r="N34" s="14" t="str">
        <x:v>MRP recommendation on simulated plan</x:v>
      </x:c>
      <x:c r="O34" s="14" t="n">
        <x:v>0</x:v>
      </x:c>
      <x:c r="P34" s="14" t="str">
        <x:v>2026-11-30</x:v>
      </x:c>
      <x:c r="Q34" t="n">
        <x:f>ROUND(I34*J34-K34,2)</x:f>
        <x:v>0</x:v>
      </x:c>
    </x:row>
    <x:row r="35" ht="19" customHeight="1">
      <x:c r="A35" s="14" t="str">
        <x:v>MRP-WATER-05</x:v>
      </x:c>
      <x:c r="B35" s="14" t="str">
        <x:v>water</x:v>
      </x:c>
      <x:c r="C35" s="14" t="str">
        <x:v>Mixing water</x:v>
      </x:c>
      <x:c r="D35" s="14" t="str">
        <x:v>Plant Utility</x:v>
      </x:c>
      <x:c r="E35" s="14" t="str">
        <x:v>2026-12-07</x:v>
      </x:c>
      <x:c r="F35" s="14" t="str">
        <x:v>2026-12-07</x:v>
      </x:c>
      <x:c r="G35" s="14" t="n">
        <x:v>5</x:v>
      </x:c>
      <x:c r="H35" s="14" t="n">
        <x:v>0</x:v>
      </x:c>
      <x:c r="I35" s="16" t="n">
        <x:v>53000</x:v>
      </x:c>
      <x:c r="J35" s="18" t="n">
        <x:v>0.004</x:v>
      </x:c>
      <x:c r="K35" s="18" t="n">
        <x:v>212</x:v>
      </x:c>
      <x:c r="L35" s="14" t="n">
        <x:v>0</x:v>
      </x:c>
      <x:c r="M35" s="14" t="str">
        <x:v>Release on schedule</x:v>
      </x:c>
      <x:c r="N35" s="14" t="str">
        <x:v>MRP recommendation on simulated plan</x:v>
      </x:c>
      <x:c r="O35" s="14" t="n">
        <x:v>0</x:v>
      </x:c>
      <x:c r="P35" s="14" t="str">
        <x:v>2026-12-07</x:v>
      </x:c>
      <x:c r="Q35" t="n">
        <x:f>ROUND(I35*J35-K35,2)</x:f>
        <x:v>0</x:v>
      </x:c>
    </x:row>
    <x:row r="36" ht="19" customHeight="1">
      <x:c r="A36" s="14" t="str">
        <x:v>MRP-WATER-06</x:v>
      </x:c>
      <x:c r="B36" s="14" t="str">
        <x:v>water</x:v>
      </x:c>
      <x:c r="C36" s="14" t="str">
        <x:v>Mixing water</x:v>
      </x:c>
      <x:c r="D36" s="14" t="str">
        <x:v>Plant Utility</x:v>
      </x:c>
      <x:c r="E36" s="14" t="str">
        <x:v>2026-12-14</x:v>
      </x:c>
      <x:c r="F36" s="14" t="str">
        <x:v>2026-12-14</x:v>
      </x:c>
      <x:c r="G36" s="14" t="n">
        <x:v>6</x:v>
      </x:c>
      <x:c r="H36" s="14" t="n">
        <x:v>0</x:v>
      </x:c>
      <x:c r="I36" s="16" t="n">
        <x:v>52000</x:v>
      </x:c>
      <x:c r="J36" s="18" t="n">
        <x:v>0.004</x:v>
      </x:c>
      <x:c r="K36" s="18" t="n">
        <x:v>208</x:v>
      </x:c>
      <x:c r="L36" s="14" t="n">
        <x:v>0</x:v>
      </x:c>
      <x:c r="M36" s="14" t="str">
        <x:v>Release on schedule</x:v>
      </x:c>
      <x:c r="N36" s="14" t="str">
        <x:v>MRP recommendation on simulated plan</x:v>
      </x:c>
      <x:c r="O36" s="14" t="n">
        <x:v>0</x:v>
      </x:c>
      <x:c r="P36" s="14" t="str">
        <x:v>2026-12-14</x:v>
      </x:c>
      <x:c r="Q36" t="n">
        <x:f>ROUND(I36*J36-K36,2)</x:f>
        <x:v>0</x:v>
      </x:c>
    </x:row>
    <x:row r="37" ht="19" customHeight="1">
      <x:c r="A37" s="14" t="str">
        <x:v>MRP-WATER-07</x:v>
      </x:c>
      <x:c r="B37" s="14" t="str">
        <x:v>water</x:v>
      </x:c>
      <x:c r="C37" s="14" t="str">
        <x:v>Mixing water</x:v>
      </x:c>
      <x:c r="D37" s="14" t="str">
        <x:v>Plant Utility</x:v>
      </x:c>
      <x:c r="E37" s="14" t="str">
        <x:v>2026-12-21</x:v>
      </x:c>
      <x:c r="F37" s="14" t="str">
        <x:v>2026-12-21</x:v>
      </x:c>
      <x:c r="G37" s="14" t="n">
        <x:v>7</x:v>
      </x:c>
      <x:c r="H37" s="14" t="n">
        <x:v>0</x:v>
      </x:c>
      <x:c r="I37" s="16" t="n">
        <x:v>51000</x:v>
      </x:c>
      <x:c r="J37" s="18" t="n">
        <x:v>0.004</x:v>
      </x:c>
      <x:c r="K37" s="18" t="n">
        <x:v>204</x:v>
      </x:c>
      <x:c r="L37" s="14" t="n">
        <x:v>0</x:v>
      </x:c>
      <x:c r="M37" s="14" t="str">
        <x:v>Release on schedule</x:v>
      </x:c>
      <x:c r="N37" s="14" t="str">
        <x:v>MRP recommendation on simulated plan</x:v>
      </x:c>
      <x:c r="O37" s="14" t="n">
        <x:v>0</x:v>
      </x:c>
      <x:c r="P37" s="14" t="str">
        <x:v>2026-12-21</x:v>
      </x:c>
      <x:c r="Q37" t="n">
        <x:f>ROUND(I37*J37-K37,2)</x:f>
        <x:v>0</x:v>
      </x:c>
    </x:row>
    <x:row r="38" ht="19" customHeight="1">
      <x:c r="A38" s="14" t="str">
        <x:v>MRP-WATER-08</x:v>
      </x:c>
      <x:c r="B38" s="14" t="str">
        <x:v>water</x:v>
      </x:c>
      <x:c r="C38" s="14" t="str">
        <x:v>Mixing water</x:v>
      </x:c>
      <x:c r="D38" s="14" t="str">
        <x:v>Plant Utility</x:v>
      </x:c>
      <x:c r="E38" s="14" t="str">
        <x:v>2026-12-28</x:v>
      </x:c>
      <x:c r="F38" s="14" t="str">
        <x:v>2026-12-28</x:v>
      </x:c>
      <x:c r="G38" s="14" t="n">
        <x:v>8</x:v>
      </x:c>
      <x:c r="H38" s="14" t="n">
        <x:v>0</x:v>
      </x:c>
      <x:c r="I38" s="16" t="n">
        <x:v>47000</x:v>
      </x:c>
      <x:c r="J38" s="18" t="n">
        <x:v>0.004</x:v>
      </x:c>
      <x:c r="K38" s="18" t="n">
        <x:v>188</x:v>
      </x:c>
      <x:c r="L38" s="14" t="n">
        <x:v>0</x:v>
      </x:c>
      <x:c r="M38" s="14" t="str">
        <x:v>Release on schedule</x:v>
      </x:c>
      <x:c r="N38" s="14" t="str">
        <x:v>MRP recommendation on simulated plan</x:v>
      </x:c>
      <x:c r="O38" s="14" t="n">
        <x:v>0</x:v>
      </x:c>
      <x:c r="P38" s="14" t="str">
        <x:v>2026-12-28</x:v>
      </x:c>
      <x:c r="Q38" t="n">
        <x:f>ROUND(I38*J38-K38,2)</x:f>
        <x:v>0</x:v>
      </x:c>
    </x:row>
    <x:row r="39" ht="19" customHeight="1">
      <x:c r="A39" s="14" t="str">
        <x:v>MRP-WATER-09</x:v>
      </x:c>
      <x:c r="B39" s="14" t="str">
        <x:v>water</x:v>
      </x:c>
      <x:c r="C39" s="14" t="str">
        <x:v>Mixing water</x:v>
      </x:c>
      <x:c r="D39" s="14" t="str">
        <x:v>Plant Utility</x:v>
      </x:c>
      <x:c r="E39" s="14" t="str">
        <x:v>2027-01-04</x:v>
      </x:c>
      <x:c r="F39" s="14" t="str">
        <x:v>2027-01-04</x:v>
      </x:c>
      <x:c r="G39" s="14" t="n">
        <x:v>9</x:v>
      </x:c>
      <x:c r="H39" s="14" t="n">
        <x:v>0</x:v>
      </x:c>
      <x:c r="I39" s="16" t="n">
        <x:v>47000</x:v>
      </x:c>
      <x:c r="J39" s="18" t="n">
        <x:v>0.004</x:v>
      </x:c>
      <x:c r="K39" s="18" t="n">
        <x:v>188</x:v>
      </x:c>
      <x:c r="L39" s="14" t="n">
        <x:v>0</x:v>
      </x:c>
      <x:c r="M39" s="14" t="str">
        <x:v>Release on schedule</x:v>
      </x:c>
      <x:c r="N39" s="14" t="str">
        <x:v>MRP recommendation on simulated plan</x:v>
      </x:c>
      <x:c r="O39" s="14" t="n">
        <x:v>0</x:v>
      </x:c>
      <x:c r="P39" s="14" t="str">
        <x:v>2027-01-04</x:v>
      </x:c>
      <x:c r="Q39" t="n">
        <x:f>ROUND(I39*J39-K39,2)</x:f>
        <x:v>0</x:v>
      </x:c>
    </x:row>
    <x:row r="40" ht="19" customHeight="1">
      <x:c r="A40" s="14" t="str">
        <x:v>MRP-WATER-10</x:v>
      </x:c>
      <x:c r="B40" s="14" t="str">
        <x:v>water</x:v>
      </x:c>
      <x:c r="C40" s="14" t="str">
        <x:v>Mixing water</x:v>
      </x:c>
      <x:c r="D40" s="14" t="str">
        <x:v>Plant Utility</x:v>
      </x:c>
      <x:c r="E40" s="14" t="str">
        <x:v>2027-01-11</x:v>
      </x:c>
      <x:c r="F40" s="14" t="str">
        <x:v>2027-01-11</x:v>
      </x:c>
      <x:c r="G40" s="14" t="n">
        <x:v>10</x:v>
      </x:c>
      <x:c r="H40" s="14" t="n">
        <x:v>0</x:v>
      </x:c>
      <x:c r="I40" s="16" t="n">
        <x:v>51000</x:v>
      </x:c>
      <x:c r="J40" s="18" t="n">
        <x:v>0.004</x:v>
      </x:c>
      <x:c r="K40" s="18" t="n">
        <x:v>204</x:v>
      </x:c>
      <x:c r="L40" s="14" t="n">
        <x:v>0</x:v>
      </x:c>
      <x:c r="M40" s="14" t="str">
        <x:v>Release on schedule</x:v>
      </x:c>
      <x:c r="N40" s="14" t="str">
        <x:v>MRP recommendation on simulated plan</x:v>
      </x:c>
      <x:c r="O40" s="14" t="n">
        <x:v>0</x:v>
      </x:c>
      <x:c r="P40" s="14" t="str">
        <x:v>2027-01-11</x:v>
      </x:c>
      <x:c r="Q40" t="n">
        <x:f>ROUND(I40*J40-K40,2)</x:f>
        <x:v>0</x:v>
      </x:c>
    </x:row>
    <x:row r="41" ht="19" customHeight="1">
      <x:c r="A41" s="14" t="str">
        <x:v>MRP-WATER-11</x:v>
      </x:c>
      <x:c r="B41" s="14" t="str">
        <x:v>water</x:v>
      </x:c>
      <x:c r="C41" s="14" t="str">
        <x:v>Mixing water</x:v>
      </x:c>
      <x:c r="D41" s="14" t="str">
        <x:v>Plant Utility</x:v>
      </x:c>
      <x:c r="E41" s="14" t="str">
        <x:v>2027-01-18</x:v>
      </x:c>
      <x:c r="F41" s="14" t="str">
        <x:v>2027-01-18</x:v>
      </x:c>
      <x:c r="G41" s="14" t="n">
        <x:v>11</x:v>
      </x:c>
      <x:c r="H41" s="14" t="n">
        <x:v>0</x:v>
      </x:c>
      <x:c r="I41" s="16" t="n">
        <x:v>47000</x:v>
      </x:c>
      <x:c r="J41" s="18" t="n">
        <x:v>0.004</x:v>
      </x:c>
      <x:c r="K41" s="18" t="n">
        <x:v>188</x:v>
      </x:c>
      <x:c r="L41" s="14" t="n">
        <x:v>0</x:v>
      </x:c>
      <x:c r="M41" s="14" t="str">
        <x:v>Release on schedule</x:v>
      </x:c>
      <x:c r="N41" s="14" t="str">
        <x:v>MRP recommendation on simulated plan</x:v>
      </x:c>
      <x:c r="O41" s="14" t="n">
        <x:v>0</x:v>
      </x:c>
      <x:c r="P41" s="14" t="str">
        <x:v>2027-01-18</x:v>
      </x:c>
      <x:c r="Q41" t="n">
        <x:f>ROUND(I41*J41-K41,2)</x:f>
        <x:v>0</x:v>
      </x:c>
    </x:row>
    <x:row r="42" ht="19" customHeight="1">
      <x:c r="A42" s="14" t="str">
        <x:v>MRP-SUPERPLASTIC-00</x:v>
      </x:c>
      <x:c r="B42" s="14" t="str">
        <x:v>superplastic</x:v>
      </x:c>
      <x:c r="C42" s="14" t="str">
        <x:v>Superplasticizer</x:v>
      </x:c>
      <x:c r="D42" s="14" t="str">
        <x:v>PolyMix Chemicals</x:v>
      </x:c>
      <x:c r="E42" s="14" t="str">
        <x:v>2026-10-12</x:v>
      </x:c>
      <x:c r="F42" s="14" t="str">
        <x:v>2026-11-02</x:v>
      </x:c>
      <x:c r="G42" s="14" t="n">
        <x:v>0</x:v>
      </x:c>
      <x:c r="H42" s="14" t="n">
        <x:v>3</x:v>
      </x:c>
      <x:c r="I42" s="16" t="n">
        <x:v>500</x:v>
      </x:c>
      <x:c r="J42" s="18" t="n">
        <x:v>2.35</x:v>
      </x:c>
      <x:c r="K42" s="18" t="n">
        <x:v>1175</x:v>
      </x:c>
      <x:c r="L42" s="14" t="n">
        <x:v>1</x:v>
      </x:c>
      <x:c r="M42" s="14" t="str">
        <x:v>Expedite requested date / negotiate</x:v>
      </x:c>
      <x:c r="N42" s="14" t="str">
        <x:v>MRP recommendation on simulated plan</x:v>
      </x:c>
      <x:c r="O42" s="14" t="n">
        <x:v>2</x:v>
      </x:c>
      <x:c r="P42" s="14" t="str">
        <x:v>2026-11-16</x:v>
      </x:c>
      <x:c r="Q42" t="n">
        <x:f>ROUND(I42*J42-K42,2)</x:f>
        <x:v>0</x:v>
      </x:c>
    </x:row>
    <x:row r="43" ht="19" customHeight="1">
      <x:c r="A43" s="14" t="str">
        <x:v>MRP-SUPERPLASTIC-01</x:v>
      </x:c>
      <x:c r="B43" s="14" t="str">
        <x:v>superplastic</x:v>
      </x:c>
      <x:c r="C43" s="14" t="str">
        <x:v>Superplasticizer</x:v>
      </x:c>
      <x:c r="D43" s="14" t="str">
        <x:v>PolyMix Chemicals</x:v>
      </x:c>
      <x:c r="E43" s="14" t="str">
        <x:v>2026-10-19</x:v>
      </x:c>
      <x:c r="F43" s="14" t="str">
        <x:v>2026-11-09</x:v>
      </x:c>
      <x:c r="G43" s="14" t="n">
        <x:v>1</x:v>
      </x:c>
      <x:c r="H43" s="14" t="n">
        <x:v>3</x:v>
      </x:c>
      <x:c r="I43" s="16" t="n">
        <x:v>500</x:v>
      </x:c>
      <x:c r="J43" s="18" t="n">
        <x:v>2.35</x:v>
      </x:c>
      <x:c r="K43" s="18" t="n">
        <x:v>1175</x:v>
      </x:c>
      <x:c r="L43" s="14" t="n">
        <x:v>1</x:v>
      </x:c>
      <x:c r="M43" s="14" t="str">
        <x:v>Expedite requested date / negotiate</x:v>
      </x:c>
      <x:c r="N43" s="14" t="str">
        <x:v>MRP recommendation on simulated plan</x:v>
      </x:c>
      <x:c r="O43" s="14" t="n">
        <x:v>1</x:v>
      </x:c>
      <x:c r="P43" s="14" t="str">
        <x:v>2026-11-16</x:v>
      </x:c>
      <x:c r="Q43" t="n">
        <x:f>ROUND(I43*J43-K43,2)</x:f>
        <x:v>0</x:v>
      </x:c>
    </x:row>
    <x:row r="44" ht="19" customHeight="1">
      <x:c r="A44" s="14" t="str">
        <x:v>MRP-SUPERPLASTIC-04</x:v>
      </x:c>
      <x:c r="B44" s="14" t="str">
        <x:v>superplastic</x:v>
      </x:c>
      <x:c r="C44" s="14" t="str">
        <x:v>Superplasticizer</x:v>
      </x:c>
      <x:c r="D44" s="14" t="str">
        <x:v>PolyMix Chemicals</x:v>
      </x:c>
      <x:c r="E44" s="14" t="str">
        <x:v>2026-11-09</x:v>
      </x:c>
      <x:c r="F44" s="14" t="str">
        <x:v>2026-11-30</x:v>
      </x:c>
      <x:c r="G44" s="14" t="n">
        <x:v>4</x:v>
      </x:c>
      <x:c r="H44" s="14" t="n">
        <x:v>3</x:v>
      </x:c>
      <x:c r="I44" s="16" t="n">
        <x:v>500</x:v>
      </x:c>
      <x:c r="J44" s="18" t="n">
        <x:v>2.35</x:v>
      </x:c>
      <x:c r="K44" s="18" t="n">
        <x:v>1175</x:v>
      </x:c>
      <x:c r="L44" s="14" t="n">
        <x:v>0</x:v>
      </x:c>
      <x:c r="M44" s="14" t="str">
        <x:v>Release on schedule</x:v>
      </x:c>
      <x:c r="N44" s="14" t="str">
        <x:v>MRP recommendation on simulated plan</x:v>
      </x:c>
      <x:c r="O44" s="14" t="n">
        <x:v>0</x:v>
      </x:c>
      <x:c r="P44" s="14" t="str">
        <x:v>2026-11-30</x:v>
      </x:c>
      <x:c r="Q44" t="n">
        <x:f>ROUND(I44*J44-K44,2)</x:f>
        <x:v>0</x:v>
      </x:c>
    </x:row>
    <x:row r="45" ht="19" customHeight="1">
      <x:c r="A45" s="14" t="str">
        <x:v>MRP-SUPERPLASTIC-05</x:v>
      </x:c>
      <x:c r="B45" s="14" t="str">
        <x:v>superplastic</x:v>
      </x:c>
      <x:c r="C45" s="14" t="str">
        <x:v>Superplasticizer</x:v>
      </x:c>
      <x:c r="D45" s="14" t="str">
        <x:v>PolyMix Chemicals</x:v>
      </x:c>
      <x:c r="E45" s="14" t="str">
        <x:v>2026-11-16</x:v>
      </x:c>
      <x:c r="F45" s="14" t="str">
        <x:v>2026-12-07</x:v>
      </x:c>
      <x:c r="G45" s="14" t="n">
        <x:v>5</x:v>
      </x:c>
      <x:c r="H45" s="14" t="n">
        <x:v>3</x:v>
      </x:c>
      <x:c r="I45" s="16" t="n">
        <x:v>500</x:v>
      </x:c>
      <x:c r="J45" s="18" t="n">
        <x:v>2.35</x:v>
      </x:c>
      <x:c r="K45" s="18" t="n">
        <x:v>1175</x:v>
      </x:c>
      <x:c r="L45" s="14" t="n">
        <x:v>0</x:v>
      </x:c>
      <x:c r="M45" s="14" t="str">
        <x:v>Release on schedule</x:v>
      </x:c>
      <x:c r="N45" s="14" t="str">
        <x:v>MRP recommendation on simulated plan</x:v>
      </x:c>
      <x:c r="O45" s="14" t="n">
        <x:v>0</x:v>
      </x:c>
      <x:c r="P45" s="14" t="str">
        <x:v>2026-12-07</x:v>
      </x:c>
      <x:c r="Q45" t="n">
        <x:f>ROUND(I45*J45-K45,2)</x:f>
        <x:v>0</x:v>
      </x:c>
    </x:row>
    <x:row r="46" ht="19" customHeight="1">
      <x:c r="A46" s="14" t="str">
        <x:v>MRP-SUPERPLASTIC-07</x:v>
      </x:c>
      <x:c r="B46" s="14" t="str">
        <x:v>superplastic</x:v>
      </x:c>
      <x:c r="C46" s="14" t="str">
        <x:v>Superplasticizer</x:v>
      </x:c>
      <x:c r="D46" s="14" t="str">
        <x:v>PolyMix Chemicals</x:v>
      </x:c>
      <x:c r="E46" s="14" t="str">
        <x:v>2026-11-30</x:v>
      </x:c>
      <x:c r="F46" s="14" t="str">
        <x:v>2026-12-21</x:v>
      </x:c>
      <x:c r="G46" s="14" t="n">
        <x:v>7</x:v>
      </x:c>
      <x:c r="H46" s="14" t="n">
        <x:v>3</x:v>
      </x:c>
      <x:c r="I46" s="16" t="n">
        <x:v>500</x:v>
      </x:c>
      <x:c r="J46" s="18" t="n">
        <x:v>2.35</x:v>
      </x:c>
      <x:c r="K46" s="18" t="n">
        <x:v>1175</x:v>
      </x:c>
      <x:c r="L46" s="14" t="n">
        <x:v>0</x:v>
      </x:c>
      <x:c r="M46" s="14" t="str">
        <x:v>Release on schedule</x:v>
      </x:c>
      <x:c r="N46" s="14" t="str">
        <x:v>MRP recommendation on simulated plan</x:v>
      </x:c>
      <x:c r="O46" s="14" t="n">
        <x:v>0</x:v>
      </x:c>
      <x:c r="P46" s="14" t="str">
        <x:v>2026-12-21</x:v>
      </x:c>
      <x:c r="Q46" t="n">
        <x:f>ROUND(I46*J46-K46,2)</x:f>
        <x:v>0</x:v>
      </x:c>
    </x:row>
    <x:row r="47" ht="19" customHeight="1">
      <x:c r="A47" s="14" t="str">
        <x:v>MRP-SUPERPLASTIC-09</x:v>
      </x:c>
      <x:c r="B47" s="14" t="str">
        <x:v>superplastic</x:v>
      </x:c>
      <x:c r="C47" s="14" t="str">
        <x:v>Superplasticizer</x:v>
      </x:c>
      <x:c r="D47" s="14" t="str">
        <x:v>PolyMix Chemicals</x:v>
      </x:c>
      <x:c r="E47" s="14" t="str">
        <x:v>2026-12-14</x:v>
      </x:c>
      <x:c r="F47" s="14" t="str">
        <x:v>2027-01-04</x:v>
      </x:c>
      <x:c r="G47" s="14" t="n">
        <x:v>9</x:v>
      </x:c>
      <x:c r="H47" s="14" t="n">
        <x:v>3</x:v>
      </x:c>
      <x:c r="I47" s="16" t="n">
        <x:v>500</x:v>
      </x:c>
      <x:c r="J47" s="18" t="n">
        <x:v>2.35</x:v>
      </x:c>
      <x:c r="K47" s="18" t="n">
        <x:v>1175</x:v>
      </x:c>
      <x:c r="L47" s="14" t="n">
        <x:v>0</x:v>
      </x:c>
      <x:c r="M47" s="14" t="str">
        <x:v>Release on schedule</x:v>
      </x:c>
      <x:c r="N47" s="14" t="str">
        <x:v>MRP recommendation on simulated plan</x:v>
      </x:c>
      <x:c r="O47" s="14" t="n">
        <x:v>0</x:v>
      </x:c>
      <x:c r="P47" s="14" t="str">
        <x:v>2027-01-04</x:v>
      </x:c>
      <x:c r="Q47" t="n">
        <x:f>ROUND(I47*J47-K47,2)</x:f>
        <x:v>0</x:v>
      </x:c>
    </x:row>
    <x:row r="48" ht="19" customHeight="1">
      <x:c r="A48" s="14" t="str">
        <x:v>MRP-SUPERPLASTIC-11</x:v>
      </x:c>
      <x:c r="B48" s="14" t="str">
        <x:v>superplastic</x:v>
      </x:c>
      <x:c r="C48" s="14" t="str">
        <x:v>Superplasticizer</x:v>
      </x:c>
      <x:c r="D48" s="14" t="str">
        <x:v>PolyMix Chemicals</x:v>
      </x:c>
      <x:c r="E48" s="14" t="str">
        <x:v>2026-12-28</x:v>
      </x:c>
      <x:c r="F48" s="14" t="str">
        <x:v>2027-01-18</x:v>
      </x:c>
      <x:c r="G48" s="14" t="n">
        <x:v>11</x:v>
      </x:c>
      <x:c r="H48" s="14" t="n">
        <x:v>3</x:v>
      </x:c>
      <x:c r="I48" s="16" t="n">
        <x:v>500</x:v>
      </x:c>
      <x:c r="J48" s="18" t="n">
        <x:v>2.35</x:v>
      </x:c>
      <x:c r="K48" s="18" t="n">
        <x:v>1175</x:v>
      </x:c>
      <x:c r="L48" s="14" t="n">
        <x:v>0</x:v>
      </x:c>
      <x:c r="M48" s="14" t="str">
        <x:v>Release on schedule</x:v>
      </x:c>
      <x:c r="N48" s="14" t="str">
        <x:v>MRP recommendation on simulated plan</x:v>
      </x:c>
      <x:c r="O48" s="14" t="n">
        <x:v>0</x:v>
      </x:c>
      <x:c r="P48" s="14" t="str">
        <x:v>2027-01-18</x:v>
      </x:c>
      <x:c r="Q48" t="n">
        <x:f>ROUND(I48*J48-K48,2)</x:f>
        <x:v>0</x:v>
      </x:c>
    </x:row>
    <x:row r="49" ht="19" customHeight="1">
      <x:c r="A49" s="14" t="str">
        <x:v>MRP-COARSEAGG-00</x:v>
      </x:c>
      <x:c r="B49" s="14" t="str">
        <x:v>coarseagg</x:v>
      </x:c>
      <x:c r="C49" s="14" t="str">
        <x:v>Coarse aggregate</x:v>
      </x:c>
      <x:c r="D49" s="14" t="str">
        <x:v>Rockline Aggregates</x:v>
      </x:c>
      <x:c r="E49" s="14" t="str">
        <x:v>2026-10-26</x:v>
      </x:c>
      <x:c r="F49" s="14" t="str">
        <x:v>2026-11-02</x:v>
      </x:c>
      <x:c r="G49" s="14" t="n">
        <x:v>0</x:v>
      </x:c>
      <x:c r="H49" s="14" t="n">
        <x:v>1</x:v>
      </x:c>
      <x:c r="I49" s="16" t="n">
        <x:v>110000</x:v>
      </x:c>
      <x:c r="J49" s="18" t="n">
        <x:v>0.027</x:v>
      </x:c>
      <x:c r="K49" s="18" t="n">
        <x:v>2970</x:v>
      </x:c>
      <x:c r="L49" s="14" t="n">
        <x:v>0</x:v>
      </x:c>
      <x:c r="M49" s="14" t="str">
        <x:v>Release on schedule</x:v>
      </x:c>
      <x:c r="N49" s="14" t="str">
        <x:v>MRP recommendation on simulated plan</x:v>
      </x:c>
      <x:c r="O49" s="14" t="n">
        <x:v>0</x:v>
      </x:c>
      <x:c r="P49" s="14" t="str">
        <x:v>2026-11-02</x:v>
      </x:c>
      <x:c r="Q49" t="n">
        <x:f>ROUND(I49*J49-K49,2)</x:f>
        <x:v>0</x:v>
      </x:c>
    </x:row>
    <x:row r="50" ht="19" customHeight="1">
      <x:c r="A50" s="14" t="str">
        <x:v>MRP-COARSEAGG-01</x:v>
      </x:c>
      <x:c r="B50" s="14" t="str">
        <x:v>coarseagg</x:v>
      </x:c>
      <x:c r="C50" s="14" t="str">
        <x:v>Coarse aggregate</x:v>
      </x:c>
      <x:c r="D50" s="14" t="str">
        <x:v>Rockline Aggregates</x:v>
      </x:c>
      <x:c r="E50" s="14" t="str">
        <x:v>2026-11-02</x:v>
      </x:c>
      <x:c r="F50" s="14" t="str">
        <x:v>2026-11-09</x:v>
      </x:c>
      <x:c r="G50" s="14" t="n">
        <x:v>1</x:v>
      </x:c>
      <x:c r="H50" s="14" t="n">
        <x:v>1</x:v>
      </x:c>
      <x:c r="I50" s="16" t="n">
        <x:v>110000</x:v>
      </x:c>
      <x:c r="J50" s="18" t="n">
        <x:v>0.027</x:v>
      </x:c>
      <x:c r="K50" s="18" t="n">
        <x:v>2970</x:v>
      </x:c>
      <x:c r="L50" s="14" t="n">
        <x:v>0</x:v>
      </x:c>
      <x:c r="M50" s="14" t="str">
        <x:v>Release on schedule</x:v>
      </x:c>
      <x:c r="N50" s="14" t="str">
        <x:v>MRP recommendation on simulated plan</x:v>
      </x:c>
      <x:c r="O50" s="14" t="n">
        <x:v>0</x:v>
      </x:c>
      <x:c r="P50" s="14" t="str">
        <x:v>2026-11-09</x:v>
      </x:c>
      <x:c r="Q50" t="n">
        <x:f>ROUND(I50*J50-K50,2)</x:f>
        <x:v>0</x:v>
      </x:c>
    </x:row>
    <x:row r="51" ht="19" customHeight="1">
      <x:c r="A51" s="14" t="str">
        <x:v>MRP-COARSEAGG-02</x:v>
      </x:c>
      <x:c r="B51" s="14" t="str">
        <x:v>coarseagg</x:v>
      </x:c>
      <x:c r="C51" s="14" t="str">
        <x:v>Coarse aggregate</x:v>
      </x:c>
      <x:c r="D51" s="14" t="str">
        <x:v>Rockline Aggregates</x:v>
      </x:c>
      <x:c r="E51" s="14" t="str">
        <x:v>2026-11-09</x:v>
      </x:c>
      <x:c r="F51" s="14" t="str">
        <x:v>2026-11-16</x:v>
      </x:c>
      <x:c r="G51" s="14" t="n">
        <x:v>2</x:v>
      </x:c>
      <x:c r="H51" s="14" t="n">
        <x:v>1</x:v>
      </x:c>
      <x:c r="I51" s="16" t="n">
        <x:v>220000</x:v>
      </x:c>
      <x:c r="J51" s="18" t="n">
        <x:v>0.027</x:v>
      </x:c>
      <x:c r="K51" s="18" t="n">
        <x:v>5940</x:v>
      </x:c>
      <x:c r="L51" s="14" t="n">
        <x:v>0</x:v>
      </x:c>
      <x:c r="M51" s="14" t="str">
        <x:v>Release on schedule</x:v>
      </x:c>
      <x:c r="N51" s="14" t="str">
        <x:v>MRP recommendation on simulated plan</x:v>
      </x:c>
      <x:c r="O51" s="14" t="n">
        <x:v>0</x:v>
      </x:c>
      <x:c r="P51" s="14" t="str">
        <x:v>2026-11-16</x:v>
      </x:c>
      <x:c r="Q51" t="n">
        <x:f>ROUND(I51*J51-K51,2)</x:f>
        <x:v>0</x:v>
      </x:c>
    </x:row>
    <x:row r="52" ht="19" customHeight="1">
      <x:c r="A52" s="14" t="str">
        <x:v>MRP-COARSEAGG-03</x:v>
      </x:c>
      <x:c r="B52" s="14" t="str">
        <x:v>coarseagg</x:v>
      </x:c>
      <x:c r="C52" s="14" t="str">
        <x:v>Coarse aggregate</x:v>
      </x:c>
      <x:c r="D52" s="14" t="str">
        <x:v>Rockline Aggregates</x:v>
      </x:c>
      <x:c r="E52" s="14" t="str">
        <x:v>2026-11-16</x:v>
      </x:c>
      <x:c r="F52" s="14" t="str">
        <x:v>2026-11-23</x:v>
      </x:c>
      <x:c r="G52" s="14" t="n">
        <x:v>3</x:v>
      </x:c>
      <x:c r="H52" s="14" t="n">
        <x:v>1</x:v>
      </x:c>
      <x:c r="I52" s="16" t="n">
        <x:v>260000</x:v>
      </x:c>
      <x:c r="J52" s="18" t="n">
        <x:v>0.027</x:v>
      </x:c>
      <x:c r="K52" s="18" t="n">
        <x:v>7020</x:v>
      </x:c>
      <x:c r="L52" s="14" t="n">
        <x:v>0</x:v>
      </x:c>
      <x:c r="M52" s="14" t="str">
        <x:v>Release on schedule</x:v>
      </x:c>
      <x:c r="N52" s="14" t="str">
        <x:v>MRP recommendation on simulated plan</x:v>
      </x:c>
      <x:c r="O52" s="14" t="n">
        <x:v>0</x:v>
      </x:c>
      <x:c r="P52" s="14" t="str">
        <x:v>2026-11-23</x:v>
      </x:c>
      <x:c r="Q52" t="n">
        <x:f>ROUND(I52*J52-K52,2)</x:f>
        <x:v>0</x:v>
      </x:c>
    </x:row>
    <x:row r="53" ht="19" customHeight="1">
      <x:c r="A53" s="14" t="str">
        <x:v>MRP-COARSEAGG-04</x:v>
      </x:c>
      <x:c r="B53" s="14" t="str">
        <x:v>coarseagg</x:v>
      </x:c>
      <x:c r="C53" s="14" t="str">
        <x:v>Coarse aggregate</x:v>
      </x:c>
      <x:c r="D53" s="14" t="str">
        <x:v>Rockline Aggregates</x:v>
      </x:c>
      <x:c r="E53" s="14" t="str">
        <x:v>2026-11-23</x:v>
      </x:c>
      <x:c r="F53" s="14" t="str">
        <x:v>2026-11-30</x:v>
      </x:c>
      <x:c r="G53" s="14" t="n">
        <x:v>4</x:v>
      </x:c>
      <x:c r="H53" s="14" t="n">
        <x:v>1</x:v>
      </x:c>
      <x:c r="I53" s="16" t="n">
        <x:v>260000</x:v>
      </x:c>
      <x:c r="J53" s="18" t="n">
        <x:v>0.027</x:v>
      </x:c>
      <x:c r="K53" s="18" t="n">
        <x:v>7020</x:v>
      </x:c>
      <x:c r="L53" s="14" t="n">
        <x:v>0</x:v>
      </x:c>
      <x:c r="M53" s="14" t="str">
        <x:v>Release on schedule</x:v>
      </x:c>
      <x:c r="N53" s="14" t="str">
        <x:v>MRP recommendation on simulated plan</x:v>
      </x:c>
      <x:c r="O53" s="14" t="n">
        <x:v>0</x:v>
      </x:c>
      <x:c r="P53" s="14" t="str">
        <x:v>2026-11-30</x:v>
      </x:c>
      <x:c r="Q53" t="n">
        <x:f>ROUND(I53*J53-K53,2)</x:f>
        <x:v>0</x:v>
      </x:c>
    </x:row>
    <x:row r="54" ht="19" customHeight="1">
      <x:c r="A54" s="14" t="str">
        <x:v>MRP-COARSEAGG-05</x:v>
      </x:c>
      <x:c r="B54" s="14" t="str">
        <x:v>coarseagg</x:v>
      </x:c>
      <x:c r="C54" s="14" t="str">
        <x:v>Coarse aggregate</x:v>
      </x:c>
      <x:c r="D54" s="14" t="str">
        <x:v>Rockline Aggregates</x:v>
      </x:c>
      <x:c r="E54" s="14" t="str">
        <x:v>2026-11-30</x:v>
      </x:c>
      <x:c r="F54" s="14" t="str">
        <x:v>2026-12-07</x:v>
      </x:c>
      <x:c r="G54" s="14" t="n">
        <x:v>5</x:v>
      </x:c>
      <x:c r="H54" s="14" t="n">
        <x:v>1</x:v>
      </x:c>
      <x:c r="I54" s="16" t="n">
        <x:v>230000</x:v>
      </x:c>
      <x:c r="J54" s="18" t="n">
        <x:v>0.027</x:v>
      </x:c>
      <x:c r="K54" s="18" t="n">
        <x:v>6210</x:v>
      </x:c>
      <x:c r="L54" s="14" t="n">
        <x:v>0</x:v>
      </x:c>
      <x:c r="M54" s="14" t="str">
        <x:v>Release on schedule</x:v>
      </x:c>
      <x:c r="N54" s="14" t="str">
        <x:v>MRP recommendation on simulated plan</x:v>
      </x:c>
      <x:c r="O54" s="14" t="n">
        <x:v>0</x:v>
      </x:c>
      <x:c r="P54" s="14" t="str">
        <x:v>2026-12-07</x:v>
      </x:c>
      <x:c r="Q54" t="n">
        <x:f>ROUND(I54*J54-K54,2)</x:f>
        <x:v>0</x:v>
      </x:c>
    </x:row>
    <x:row r="55" ht="19" customHeight="1">
      <x:c r="A55" s="14" t="str">
        <x:v>MRP-COARSEAGG-06</x:v>
      </x:c>
      <x:c r="B55" s="14" t="str">
        <x:v>coarseagg</x:v>
      </x:c>
      <x:c r="C55" s="14" t="str">
        <x:v>Coarse aggregate</x:v>
      </x:c>
      <x:c r="D55" s="14" t="str">
        <x:v>Rockline Aggregates</x:v>
      </x:c>
      <x:c r="E55" s="14" t="str">
        <x:v>2026-12-07</x:v>
      </x:c>
      <x:c r="F55" s="14" t="str">
        <x:v>2026-12-14</x:v>
      </x:c>
      <x:c r="G55" s="14" t="n">
        <x:v>6</x:v>
      </x:c>
      <x:c r="H55" s="14" t="n">
        <x:v>1</x:v>
      </x:c>
      <x:c r="I55" s="16" t="n">
        <x:v>220000</x:v>
      </x:c>
      <x:c r="J55" s="18" t="n">
        <x:v>0.027</x:v>
      </x:c>
      <x:c r="K55" s="18" t="n">
        <x:v>5940</x:v>
      </x:c>
      <x:c r="L55" s="14" t="n">
        <x:v>0</x:v>
      </x:c>
      <x:c r="M55" s="14" t="str">
        <x:v>Release on schedule</x:v>
      </x:c>
      <x:c r="N55" s="14" t="str">
        <x:v>MRP recommendation on simulated plan</x:v>
      </x:c>
      <x:c r="O55" s="14" t="n">
        <x:v>0</x:v>
      </x:c>
      <x:c r="P55" s="14" t="str">
        <x:v>2026-12-14</x:v>
      </x:c>
      <x:c r="Q55" t="n">
        <x:f>ROUND(I55*J55-K55,2)</x:f>
        <x:v>0</x:v>
      </x:c>
    </x:row>
    <x:row r="56" ht="19" customHeight="1">
      <x:c r="A56" s="14" t="str">
        <x:v>MRP-COARSEAGG-07</x:v>
      </x:c>
      <x:c r="B56" s="14" t="str">
        <x:v>coarseagg</x:v>
      </x:c>
      <x:c r="C56" s="14" t="str">
        <x:v>Coarse aggregate</x:v>
      </x:c>
      <x:c r="D56" s="14" t="str">
        <x:v>Rockline Aggregates</x:v>
      </x:c>
      <x:c r="E56" s="14" t="str">
        <x:v>2026-12-14</x:v>
      </x:c>
      <x:c r="F56" s="14" t="str">
        <x:v>2026-12-21</x:v>
      </x:c>
      <x:c r="G56" s="14" t="n">
        <x:v>7</x:v>
      </x:c>
      <x:c r="H56" s="14" t="n">
        <x:v>1</x:v>
      </x:c>
      <x:c r="I56" s="16" t="n">
        <x:v>230000</x:v>
      </x:c>
      <x:c r="J56" s="18" t="n">
        <x:v>0.027</x:v>
      </x:c>
      <x:c r="K56" s="18" t="n">
        <x:v>6210</x:v>
      </x:c>
      <x:c r="L56" s="14" t="n">
        <x:v>0</x:v>
      </x:c>
      <x:c r="M56" s="14" t="str">
        <x:v>Release on schedule</x:v>
      </x:c>
      <x:c r="N56" s="14" t="str">
        <x:v>MRP recommendation on simulated plan</x:v>
      </x:c>
      <x:c r="O56" s="14" t="n">
        <x:v>0</x:v>
      </x:c>
      <x:c r="P56" s="14" t="str">
        <x:v>2026-12-21</x:v>
      </x:c>
      <x:c r="Q56" t="n">
        <x:f>ROUND(I56*J56-K56,2)</x:f>
        <x:v>0</x:v>
      </x:c>
    </x:row>
    <x:row r="57" ht="19" customHeight="1">
      <x:c r="A57" s="14" t="str">
        <x:v>MRP-COARSEAGG-08</x:v>
      </x:c>
      <x:c r="B57" s="14" t="str">
        <x:v>coarseagg</x:v>
      </x:c>
      <x:c r="C57" s="14" t="str">
        <x:v>Coarse aggregate</x:v>
      </x:c>
      <x:c r="D57" s="14" t="str">
        <x:v>Rockline Aggregates</x:v>
      </x:c>
      <x:c r="E57" s="14" t="str">
        <x:v>2026-12-21</x:v>
      </x:c>
      <x:c r="F57" s="14" t="str">
        <x:v>2026-12-28</x:v>
      </x:c>
      <x:c r="G57" s="14" t="n">
        <x:v>8</x:v>
      </x:c>
      <x:c r="H57" s="14" t="n">
        <x:v>1</x:v>
      </x:c>
      <x:c r="I57" s="16" t="n">
        <x:v>200000</x:v>
      </x:c>
      <x:c r="J57" s="18" t="n">
        <x:v>0.027</x:v>
      </x:c>
      <x:c r="K57" s="18" t="n">
        <x:v>5400</x:v>
      </x:c>
      <x:c r="L57" s="14" t="n">
        <x:v>0</x:v>
      </x:c>
      <x:c r="M57" s="14" t="str">
        <x:v>Release on schedule</x:v>
      </x:c>
      <x:c r="N57" s="14" t="str">
        <x:v>MRP recommendation on simulated plan</x:v>
      </x:c>
      <x:c r="O57" s="14" t="n">
        <x:v>0</x:v>
      </x:c>
      <x:c r="P57" s="14" t="str">
        <x:v>2026-12-28</x:v>
      </x:c>
      <x:c r="Q57" t="n">
        <x:f>ROUND(I57*J57-K57,2)</x:f>
        <x:v>0</x:v>
      </x:c>
    </x:row>
    <x:row r="58" ht="19" customHeight="1">
      <x:c r="A58" s="14" t="str">
        <x:v>MRP-COARSEAGG-09</x:v>
      </x:c>
      <x:c r="B58" s="14" t="str">
        <x:v>coarseagg</x:v>
      </x:c>
      <x:c r="C58" s="14" t="str">
        <x:v>Coarse aggregate</x:v>
      </x:c>
      <x:c r="D58" s="14" t="str">
        <x:v>Rockline Aggregates</x:v>
      </x:c>
      <x:c r="E58" s="14" t="str">
        <x:v>2026-12-28</x:v>
      </x:c>
      <x:c r="F58" s="14" t="str">
        <x:v>2027-01-04</x:v>
      </x:c>
      <x:c r="G58" s="14" t="n">
        <x:v>9</x:v>
      </x:c>
      <x:c r="H58" s="14" t="n">
        <x:v>1</x:v>
      </x:c>
      <x:c r="I58" s="16" t="n">
        <x:v>200000</x:v>
      </x:c>
      <x:c r="J58" s="18" t="n">
        <x:v>0.027</x:v>
      </x:c>
      <x:c r="K58" s="18" t="n">
        <x:v>5400</x:v>
      </x:c>
      <x:c r="L58" s="14" t="n">
        <x:v>0</x:v>
      </x:c>
      <x:c r="M58" s="14" t="str">
        <x:v>Release on schedule</x:v>
      </x:c>
      <x:c r="N58" s="14" t="str">
        <x:v>MRP recommendation on simulated plan</x:v>
      </x:c>
      <x:c r="O58" s="14" t="n">
        <x:v>0</x:v>
      </x:c>
      <x:c r="P58" s="14" t="str">
        <x:v>2027-01-04</x:v>
      </x:c>
      <x:c r="Q58" t="n">
        <x:f>ROUND(I58*J58-K58,2)</x:f>
        <x:v>0</x:v>
      </x:c>
    </x:row>
    <x:row r="59" ht="19" customHeight="1">
      <x:c r="A59" s="14" t="str">
        <x:v>MRP-COARSEAGG-10</x:v>
      </x:c>
      <x:c r="B59" s="14" t="str">
        <x:v>coarseagg</x:v>
      </x:c>
      <x:c r="C59" s="14" t="str">
        <x:v>Coarse aggregate</x:v>
      </x:c>
      <x:c r="D59" s="14" t="str">
        <x:v>Rockline Aggregates</x:v>
      </x:c>
      <x:c r="E59" s="14" t="str">
        <x:v>2027-01-04</x:v>
      </x:c>
      <x:c r="F59" s="14" t="str">
        <x:v>2027-01-11</x:v>
      </x:c>
      <x:c r="G59" s="14" t="n">
        <x:v>10</x:v>
      </x:c>
      <x:c r="H59" s="14" t="n">
        <x:v>1</x:v>
      </x:c>
      <x:c r="I59" s="16" t="n">
        <x:v>230000</x:v>
      </x:c>
      <x:c r="J59" s="18" t="n">
        <x:v>0.027</x:v>
      </x:c>
      <x:c r="K59" s="18" t="n">
        <x:v>6210</x:v>
      </x:c>
      <x:c r="L59" s="14" t="n">
        <x:v>0</x:v>
      </x:c>
      <x:c r="M59" s="14" t="str">
        <x:v>Release on schedule</x:v>
      </x:c>
      <x:c r="N59" s="14" t="str">
        <x:v>MRP recommendation on simulated plan</x:v>
      </x:c>
      <x:c r="O59" s="14" t="n">
        <x:v>0</x:v>
      </x:c>
      <x:c r="P59" s="14" t="str">
        <x:v>2027-01-11</x:v>
      </x:c>
      <x:c r="Q59" t="n">
        <x:f>ROUND(I59*J59-K59,2)</x:f>
        <x:v>0</x:v>
      </x:c>
    </x:row>
    <x:row r="60" ht="19" customHeight="1">
      <x:c r="A60" s="14" t="str">
        <x:v>MRP-COARSEAGG-11</x:v>
      </x:c>
      <x:c r="B60" s="14" t="str">
        <x:v>coarseagg</x:v>
      </x:c>
      <x:c r="C60" s="14" t="str">
        <x:v>Coarse aggregate</x:v>
      </x:c>
      <x:c r="D60" s="14" t="str">
        <x:v>Rockline Aggregates</x:v>
      </x:c>
      <x:c r="E60" s="14" t="str">
        <x:v>2027-01-11</x:v>
      </x:c>
      <x:c r="F60" s="14" t="str">
        <x:v>2027-01-18</x:v>
      </x:c>
      <x:c r="G60" s="14" t="n">
        <x:v>11</x:v>
      </x:c>
      <x:c r="H60" s="14" t="n">
        <x:v>1</x:v>
      </x:c>
      <x:c r="I60" s="16" t="n">
        <x:v>200000</x:v>
      </x:c>
      <x:c r="J60" s="18" t="n">
        <x:v>0.027</x:v>
      </x:c>
      <x:c r="K60" s="18" t="n">
        <x:v>5400</x:v>
      </x:c>
      <x:c r="L60" s="14" t="n">
        <x:v>0</x:v>
      </x:c>
      <x:c r="M60" s="14" t="str">
        <x:v>Release on schedule</x:v>
      </x:c>
      <x:c r="N60" s="14" t="str">
        <x:v>MRP recommendation on simulated plan</x:v>
      </x:c>
      <x:c r="O60" s="14" t="n">
        <x:v>0</x:v>
      </x:c>
      <x:c r="P60" s="14" t="str">
        <x:v>2027-01-18</x:v>
      </x:c>
      <x:c r="Q60" t="n">
        <x:f>ROUND(I60*J60-K60,2)</x:f>
        <x:v>0</x:v>
      </x:c>
    </x:row>
    <x:row r="61" ht="19" customHeight="1">
      <x:c r="A61" s="14" t="str">
        <x:v>MRP-FINEAGG-00</x:v>
      </x:c>
      <x:c r="B61" s="14" t="str">
        <x:v>fineagg</x:v>
      </x:c>
      <x:c r="C61" s="14" t="str">
        <x:v>Fine aggregate</x:v>
      </x:c>
      <x:c r="D61" s="14" t="str">
        <x:v>Sandway Supply</x:v>
      </x:c>
      <x:c r="E61" s="14" t="str">
        <x:v>2026-10-26</x:v>
      </x:c>
      <x:c r="F61" s="14" t="str">
        <x:v>2026-11-02</x:v>
      </x:c>
      <x:c r="G61" s="14" t="n">
        <x:v>0</x:v>
      </x:c>
      <x:c r="H61" s="14" t="n">
        <x:v>1</x:v>
      </x:c>
      <x:c r="I61" s="16" t="n">
        <x:v>110000</x:v>
      </x:c>
      <x:c r="J61" s="18" t="n">
        <x:v>0.029</x:v>
      </x:c>
      <x:c r="K61" s="18" t="n">
        <x:v>3190</x:v>
      </x:c>
      <x:c r="L61" s="14" t="n">
        <x:v>0</x:v>
      </x:c>
      <x:c r="M61" s="14" t="str">
        <x:v>Release on schedule</x:v>
      </x:c>
      <x:c r="N61" s="14" t="str">
        <x:v>MRP recommendation on simulated plan</x:v>
      </x:c>
      <x:c r="O61" s="14" t="n">
        <x:v>0</x:v>
      </x:c>
      <x:c r="P61" s="14" t="str">
        <x:v>2026-11-02</x:v>
      </x:c>
      <x:c r="Q61" t="n">
        <x:f>ROUND(I61*J61-K61,2)</x:f>
        <x:v>0</x:v>
      </x:c>
    </x:row>
    <x:row r="62" ht="19" customHeight="1">
      <x:c r="A62" s="14" t="str">
        <x:v>MRP-FINEAGG-01</x:v>
      </x:c>
      <x:c r="B62" s="14" t="str">
        <x:v>fineagg</x:v>
      </x:c>
      <x:c r="C62" s="14" t="str">
        <x:v>Fine aggregate</x:v>
      </x:c>
      <x:c r="D62" s="14" t="str">
        <x:v>Sandway Supply</x:v>
      </x:c>
      <x:c r="E62" s="14" t="str">
        <x:v>2026-11-02</x:v>
      </x:c>
      <x:c r="F62" s="14" t="str">
        <x:v>2026-11-09</x:v>
      </x:c>
      <x:c r="G62" s="14" t="n">
        <x:v>1</x:v>
      </x:c>
      <x:c r="H62" s="14" t="n">
        <x:v>1</x:v>
      </x:c>
      <x:c r="I62" s="16" t="n">
        <x:v>200000</x:v>
      </x:c>
      <x:c r="J62" s="18" t="n">
        <x:v>0.029</x:v>
      </x:c>
      <x:c r="K62" s="18" t="n">
        <x:v>5800</x:v>
      </x:c>
      <x:c r="L62" s="14" t="n">
        <x:v>0</x:v>
      </x:c>
      <x:c r="M62" s="14" t="str">
        <x:v>Release on schedule</x:v>
      </x:c>
      <x:c r="N62" s="14" t="str">
        <x:v>MRP recommendation on simulated plan</x:v>
      </x:c>
      <x:c r="O62" s="14" t="n">
        <x:v>0</x:v>
      </x:c>
      <x:c r="P62" s="14" t="str">
        <x:v>2026-11-09</x:v>
      </x:c>
      <x:c r="Q62" t="n">
        <x:f>ROUND(I62*J62-K62,2)</x:f>
        <x:v>0</x:v>
      </x:c>
    </x:row>
    <x:row r="63" ht="19" customHeight="1">
      <x:c r="A63" s="14" t="str">
        <x:v>MRP-FINEAGG-02</x:v>
      </x:c>
      <x:c r="B63" s="14" t="str">
        <x:v>fineagg</x:v>
      </x:c>
      <x:c r="C63" s="14" t="str">
        <x:v>Fine aggregate</x:v>
      </x:c>
      <x:c r="D63" s="14" t="str">
        <x:v>Sandway Supply</x:v>
      </x:c>
      <x:c r="E63" s="14" t="str">
        <x:v>2026-11-09</x:v>
      </x:c>
      <x:c r="F63" s="14" t="str">
        <x:v>2026-11-16</x:v>
      </x:c>
      <x:c r="G63" s="14" t="n">
        <x:v>2</x:v>
      </x:c>
      <x:c r="H63" s="14" t="n">
        <x:v>1</x:v>
      </x:c>
      <x:c r="I63" s="16" t="n">
        <x:v>60000</x:v>
      </x:c>
      <x:c r="J63" s="18" t="n">
        <x:v>0.029</x:v>
      </x:c>
      <x:c r="K63" s="18" t="n">
        <x:v>1740</x:v>
      </x:c>
      <x:c r="L63" s="14" t="n">
        <x:v>0</x:v>
      </x:c>
      <x:c r="M63" s="14" t="str">
        <x:v>Release on schedule</x:v>
      </x:c>
      <x:c r="N63" s="14" t="str">
        <x:v>MRP recommendation on simulated plan</x:v>
      </x:c>
      <x:c r="O63" s="14" t="n">
        <x:v>0</x:v>
      </x:c>
      <x:c r="P63" s="14" t="str">
        <x:v>2026-11-16</x:v>
      </x:c>
      <x:c r="Q63" t="n">
        <x:f>ROUND(I63*J63-K63,2)</x:f>
        <x:v>0</x:v>
      </x:c>
    </x:row>
    <x:row r="64" ht="19" customHeight="1">
      <x:c r="A64" s="14" t="str">
        <x:v>MRP-FINEAGG-03</x:v>
      </x:c>
      <x:c r="B64" s="14" t="str">
        <x:v>fineagg</x:v>
      </x:c>
      <x:c r="C64" s="14" t="str">
        <x:v>Fine aggregate</x:v>
      </x:c>
      <x:c r="D64" s="14" t="str">
        <x:v>Sandway Supply</x:v>
      </x:c>
      <x:c r="E64" s="14" t="str">
        <x:v>2026-11-16</x:v>
      </x:c>
      <x:c r="F64" s="14" t="str">
        <x:v>2026-11-23</x:v>
      </x:c>
      <x:c r="G64" s="14" t="n">
        <x:v>3</x:v>
      </x:c>
      <x:c r="H64" s="14" t="n">
        <x:v>1</x:v>
      </x:c>
      <x:c r="I64" s="16" t="n">
        <x:v>200000</x:v>
      </x:c>
      <x:c r="J64" s="18" t="n">
        <x:v>0.029</x:v>
      </x:c>
      <x:c r="K64" s="18" t="n">
        <x:v>5800</x:v>
      </x:c>
      <x:c r="L64" s="14" t="n">
        <x:v>0</x:v>
      </x:c>
      <x:c r="M64" s="14" t="str">
        <x:v>Release on schedule</x:v>
      </x:c>
      <x:c r="N64" s="14" t="str">
        <x:v>MRP recommendation on simulated plan</x:v>
      </x:c>
      <x:c r="O64" s="14" t="n">
        <x:v>0</x:v>
      </x:c>
      <x:c r="P64" s="14" t="str">
        <x:v>2026-11-23</x:v>
      </x:c>
      <x:c r="Q64" t="n">
        <x:f>ROUND(I64*J64-K64,2)</x:f>
        <x:v>0</x:v>
      </x:c>
    </x:row>
    <x:row r="65" ht="19" customHeight="1">
      <x:c r="A65" s="14" t="str">
        <x:v>MRP-FINEAGG-04</x:v>
      </x:c>
      <x:c r="B65" s="14" t="str">
        <x:v>fineagg</x:v>
      </x:c>
      <x:c r="C65" s="14" t="str">
        <x:v>Fine aggregate</x:v>
      </x:c>
      <x:c r="D65" s="14" t="str">
        <x:v>Sandway Supply</x:v>
      </x:c>
      <x:c r="E65" s="14" t="str">
        <x:v>2026-11-23</x:v>
      </x:c>
      <x:c r="F65" s="14" t="str">
        <x:v>2026-11-30</x:v>
      </x:c>
      <x:c r="G65" s="14" t="n">
        <x:v>4</x:v>
      </x:c>
      <x:c r="H65" s="14" t="n">
        <x:v>1</x:v>
      </x:c>
      <x:c r="I65" s="16" t="n">
        <x:v>210000</x:v>
      </x:c>
      <x:c r="J65" s="18" t="n">
        <x:v>0.029</x:v>
      </x:c>
      <x:c r="K65" s="18" t="n">
        <x:v>6090</x:v>
      </x:c>
      <x:c r="L65" s="14" t="n">
        <x:v>0</x:v>
      </x:c>
      <x:c r="M65" s="14" t="str">
        <x:v>Release on schedule</x:v>
      </x:c>
      <x:c r="N65" s="14" t="str">
        <x:v>MRP recommendation on simulated plan</x:v>
      </x:c>
      <x:c r="O65" s="14" t="n">
        <x:v>0</x:v>
      </x:c>
      <x:c r="P65" s="14" t="str">
        <x:v>2026-11-30</x:v>
      </x:c>
      <x:c r="Q65" t="n">
        <x:f>ROUND(I65*J65-K65,2)</x:f>
        <x:v>0</x:v>
      </x:c>
    </x:row>
    <x:row r="66" ht="19" customHeight="1">
      <x:c r="A66" s="14" t="str">
        <x:v>MRP-FINEAGG-05</x:v>
      </x:c>
      <x:c r="B66" s="14" t="str">
        <x:v>fineagg</x:v>
      </x:c>
      <x:c r="C66" s="14" t="str">
        <x:v>Fine aggregate</x:v>
      </x:c>
      <x:c r="D66" s="14" t="str">
        <x:v>Sandway Supply</x:v>
      </x:c>
      <x:c r="E66" s="14" t="str">
        <x:v>2026-11-30</x:v>
      </x:c>
      <x:c r="F66" s="14" t="str">
        <x:v>2026-12-07</x:v>
      </x:c>
      <x:c r="G66" s="14" t="n">
        <x:v>5</x:v>
      </x:c>
      <x:c r="H66" s="14" t="n">
        <x:v>1</x:v>
      </x:c>
      <x:c r="I66" s="16" t="n">
        <x:v>190000</x:v>
      </x:c>
      <x:c r="J66" s="18" t="n">
        <x:v>0.029</x:v>
      </x:c>
      <x:c r="K66" s="18" t="n">
        <x:v>5510</x:v>
      </x:c>
      <x:c r="L66" s="14" t="n">
        <x:v>0</x:v>
      </x:c>
      <x:c r="M66" s="14" t="str">
        <x:v>Release on schedule</x:v>
      </x:c>
      <x:c r="N66" s="14" t="str">
        <x:v>MRP recommendation on simulated plan</x:v>
      </x:c>
      <x:c r="O66" s="14" t="n">
        <x:v>0</x:v>
      </x:c>
      <x:c r="P66" s="14" t="str">
        <x:v>2026-12-07</x:v>
      </x:c>
      <x:c r="Q66" t="n">
        <x:f>ROUND(I66*J66-K66,2)</x:f>
        <x:v>0</x:v>
      </x:c>
    </x:row>
    <x:row r="67" ht="19" customHeight="1">
      <x:c r="A67" s="14" t="str">
        <x:v>MRP-FINEAGG-06</x:v>
      </x:c>
      <x:c r="B67" s="14" t="str">
        <x:v>fineagg</x:v>
      </x:c>
      <x:c r="C67" s="14" t="str">
        <x:v>Fine aggregate</x:v>
      </x:c>
      <x:c r="D67" s="14" t="str">
        <x:v>Sandway Supply</x:v>
      </x:c>
      <x:c r="E67" s="14" t="str">
        <x:v>2026-12-07</x:v>
      </x:c>
      <x:c r="F67" s="14" t="str">
        <x:v>2026-12-14</x:v>
      </x:c>
      <x:c r="G67" s="14" t="n">
        <x:v>6</x:v>
      </x:c>
      <x:c r="H67" s="14" t="n">
        <x:v>1</x:v>
      </x:c>
      <x:c r="I67" s="16" t="n">
        <x:v>180000</x:v>
      </x:c>
      <x:c r="J67" s="18" t="n">
        <x:v>0.029</x:v>
      </x:c>
      <x:c r="K67" s="18" t="n">
        <x:v>5220</x:v>
      </x:c>
      <x:c r="L67" s="14" t="n">
        <x:v>0</x:v>
      </x:c>
      <x:c r="M67" s="14" t="str">
        <x:v>Release on schedule</x:v>
      </x:c>
      <x:c r="N67" s="14" t="str">
        <x:v>MRP recommendation on simulated plan</x:v>
      </x:c>
      <x:c r="O67" s="14" t="n">
        <x:v>0</x:v>
      </x:c>
      <x:c r="P67" s="14" t="str">
        <x:v>2026-12-14</x:v>
      </x:c>
      <x:c r="Q67" t="n">
        <x:f>ROUND(I67*J67-K67,2)</x:f>
        <x:v>0</x:v>
      </x:c>
    </x:row>
    <x:row r="68" ht="19" customHeight="1">
      <x:c r="A68" s="14" t="str">
        <x:v>MRP-FINEAGG-07</x:v>
      </x:c>
      <x:c r="B68" s="14" t="str">
        <x:v>fineagg</x:v>
      </x:c>
      <x:c r="C68" s="14" t="str">
        <x:v>Fine aggregate</x:v>
      </x:c>
      <x:c r="D68" s="14" t="str">
        <x:v>Sandway Supply</x:v>
      </x:c>
      <x:c r="E68" s="14" t="str">
        <x:v>2026-12-14</x:v>
      </x:c>
      <x:c r="F68" s="14" t="str">
        <x:v>2026-12-21</x:v>
      </x:c>
      <x:c r="G68" s="14" t="n">
        <x:v>7</x:v>
      </x:c>
      <x:c r="H68" s="14" t="n">
        <x:v>1</x:v>
      </x:c>
      <x:c r="I68" s="16" t="n">
        <x:v>180000</x:v>
      </x:c>
      <x:c r="J68" s="18" t="n">
        <x:v>0.029</x:v>
      </x:c>
      <x:c r="K68" s="18" t="n">
        <x:v>5220</x:v>
      </x:c>
      <x:c r="L68" s="14" t="n">
        <x:v>0</x:v>
      </x:c>
      <x:c r="M68" s="14" t="str">
        <x:v>Release on schedule</x:v>
      </x:c>
      <x:c r="N68" s="14" t="str">
        <x:v>MRP recommendation on simulated plan</x:v>
      </x:c>
      <x:c r="O68" s="14" t="n">
        <x:v>0</x:v>
      </x:c>
      <x:c r="P68" s="14" t="str">
        <x:v>2026-12-21</x:v>
      </x:c>
      <x:c r="Q68" t="n">
        <x:f>ROUND(I68*J68-K68,2)</x:f>
        <x:v>0</x:v>
      </x:c>
    </x:row>
    <x:row r="69" ht="19" customHeight="1">
      <x:c r="A69" s="14" t="str">
        <x:v>MRP-FINEAGG-08</x:v>
      </x:c>
      <x:c r="B69" s="14" t="str">
        <x:v>fineagg</x:v>
      </x:c>
      <x:c r="C69" s="14" t="str">
        <x:v>Fine aggregate</x:v>
      </x:c>
      <x:c r="D69" s="14" t="str">
        <x:v>Sandway Supply</x:v>
      </x:c>
      <x:c r="E69" s="14" t="str">
        <x:v>2026-12-21</x:v>
      </x:c>
      <x:c r="F69" s="14" t="str">
        <x:v>2026-12-28</x:v>
      </x:c>
      <x:c r="G69" s="14" t="n">
        <x:v>8</x:v>
      </x:c>
      <x:c r="H69" s="14" t="n">
        <x:v>1</x:v>
      </x:c>
      <x:c r="I69" s="16" t="n">
        <x:v>160000</x:v>
      </x:c>
      <x:c r="J69" s="18" t="n">
        <x:v>0.029</x:v>
      </x:c>
      <x:c r="K69" s="18" t="n">
        <x:v>4640</x:v>
      </x:c>
      <x:c r="L69" s="14" t="n">
        <x:v>0</x:v>
      </x:c>
      <x:c r="M69" s="14" t="str">
        <x:v>Release on schedule</x:v>
      </x:c>
      <x:c r="N69" s="14" t="str">
        <x:v>MRP recommendation on simulated plan</x:v>
      </x:c>
      <x:c r="O69" s="14" t="n">
        <x:v>0</x:v>
      </x:c>
      <x:c r="P69" s="14" t="str">
        <x:v>2026-12-28</x:v>
      </x:c>
      <x:c r="Q69" t="n">
        <x:f>ROUND(I69*J69-K69,2)</x:f>
        <x:v>0</x:v>
      </x:c>
    </x:row>
    <x:row r="70" ht="19" customHeight="1">
      <x:c r="A70" s="14" t="str">
        <x:v>MRP-FINEAGG-09</x:v>
      </x:c>
      <x:c r="B70" s="14" t="str">
        <x:v>fineagg</x:v>
      </x:c>
      <x:c r="C70" s="14" t="str">
        <x:v>Fine aggregate</x:v>
      </x:c>
      <x:c r="D70" s="14" t="str">
        <x:v>Sandway Supply</x:v>
      </x:c>
      <x:c r="E70" s="14" t="str">
        <x:v>2026-12-28</x:v>
      </x:c>
      <x:c r="F70" s="14" t="str">
        <x:v>2027-01-04</x:v>
      </x:c>
      <x:c r="G70" s="14" t="n">
        <x:v>9</x:v>
      </x:c>
      <x:c r="H70" s="14" t="n">
        <x:v>1</x:v>
      </x:c>
      <x:c r="I70" s="16" t="n">
        <x:v>160000</x:v>
      </x:c>
      <x:c r="J70" s="18" t="n">
        <x:v>0.029</x:v>
      </x:c>
      <x:c r="K70" s="18" t="n">
        <x:v>4640</x:v>
      </x:c>
      <x:c r="L70" s="14" t="n">
        <x:v>0</x:v>
      </x:c>
      <x:c r="M70" s="14" t="str">
        <x:v>Release on schedule</x:v>
      </x:c>
      <x:c r="N70" s="14" t="str">
        <x:v>MRP recommendation on simulated plan</x:v>
      </x:c>
      <x:c r="O70" s="14" t="n">
        <x:v>0</x:v>
      </x:c>
      <x:c r="P70" s="14" t="str">
        <x:v>2027-01-04</x:v>
      </x:c>
      <x:c r="Q70" t="n">
        <x:f>ROUND(I70*J70-K70,2)</x:f>
        <x:v>0</x:v>
      </x:c>
    </x:row>
    <x:row r="71" ht="19" customHeight="1">
      <x:c r="A71" s="14" t="str">
        <x:v>MRP-FINEAGG-10</x:v>
      </x:c>
      <x:c r="B71" s="14" t="str">
        <x:v>fineagg</x:v>
      </x:c>
      <x:c r="C71" s="14" t="str">
        <x:v>Fine aggregate</x:v>
      </x:c>
      <x:c r="D71" s="14" t="str">
        <x:v>Sandway Supply</x:v>
      </x:c>
      <x:c r="E71" s="14" t="str">
        <x:v>2027-01-04</x:v>
      </x:c>
      <x:c r="F71" s="14" t="str">
        <x:v>2027-01-11</x:v>
      </x:c>
      <x:c r="G71" s="14" t="n">
        <x:v>10</x:v>
      </x:c>
      <x:c r="H71" s="14" t="n">
        <x:v>1</x:v>
      </x:c>
      <x:c r="I71" s="16" t="n">
        <x:v>180000</x:v>
      </x:c>
      <x:c r="J71" s="18" t="n">
        <x:v>0.029</x:v>
      </x:c>
      <x:c r="K71" s="18" t="n">
        <x:v>5220</x:v>
      </x:c>
      <x:c r="L71" s="14" t="n">
        <x:v>0</x:v>
      </x:c>
      <x:c r="M71" s="14" t="str">
        <x:v>Release on schedule</x:v>
      </x:c>
      <x:c r="N71" s="14" t="str">
        <x:v>MRP recommendation on simulated plan</x:v>
      </x:c>
      <x:c r="O71" s="14" t="n">
        <x:v>0</x:v>
      </x:c>
      <x:c r="P71" s="14" t="str">
        <x:v>2027-01-11</x:v>
      </x:c>
      <x:c r="Q71" t="n">
        <x:f>ROUND(I71*J71-K71,2)</x:f>
        <x:v>0</x:v>
      </x:c>
    </x:row>
    <x:row r="72" ht="19" customHeight="1">
      <x:c r="A72" s="14" t="str">
        <x:v>MRP-FINEAGG-11</x:v>
      </x:c>
      <x:c r="B72" s="14" t="str">
        <x:v>fineagg</x:v>
      </x:c>
      <x:c r="C72" s="14" t="str">
        <x:v>Fine aggregate</x:v>
      </x:c>
      <x:c r="D72" s="14" t="str">
        <x:v>Sandway Supply</x:v>
      </x:c>
      <x:c r="E72" s="14" t="str">
        <x:v>2027-01-11</x:v>
      </x:c>
      <x:c r="F72" s="14" t="str">
        <x:v>2027-01-18</x:v>
      </x:c>
      <x:c r="G72" s="14" t="n">
        <x:v>11</x:v>
      </x:c>
      <x:c r="H72" s="14" t="n">
        <x:v>1</x:v>
      </x:c>
      <x:c r="I72" s="16" t="n">
        <x:v>170000</x:v>
      </x:c>
      <x:c r="J72" s="18" t="n">
        <x:v>0.029</x:v>
      </x:c>
      <x:c r="K72" s="18" t="n">
        <x:v>4930</x:v>
      </x:c>
      <x:c r="L72" s="14" t="n">
        <x:v>0</x:v>
      </x:c>
      <x:c r="M72" s="14" t="str">
        <x:v>Release on schedule</x:v>
      </x:c>
      <x:c r="N72" s="14" t="str">
        <x:v>MRP recommendation on simulated plan</x:v>
      </x:c>
      <x:c r="O72" s="14" t="n">
        <x:v>0</x:v>
      </x:c>
      <x:c r="P72" s="14" t="str">
        <x:v>2027-01-18</x:v>
      </x:c>
      <x:c r="Q72" t="n">
        <x:f>ROUND(I72*J72-K72,2)</x:f>
        <x:v>0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ba8bee3adfad43e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37" hidden="0" customWidth="1"/>
  </x:cols>
  <x:sheetData>
    <x:row r="1" ht="22" customHeight="1">
      <x:c r="A1" s="3" t="str">
        <x:v>PRODUCTION ORDERS  |  SCENARIO DATA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5" customHeight="1">
      <x:c r="A3" s="6" t="str">
        <x:v>Original concrete dataset supplies mixture ingredients; inventory, lead times, order quantities and prices are simulated.</x:v>
      </x:c>
      <x:c r="B3" s="6"/>
      <x:c r="C3" s="6"/>
      <x:c r="D3" s="6"/>
      <x:c r="E3" s="6"/>
      <x:c r="F3" s="6"/>
      <x:c r="G3" s="6"/>
    </x:row>
    <x:row r="5" ht="31" customHeight="1">
      <x:c r="A5" s="10" t="str">
        <x:v>order_id</x:v>
      </x:c>
      <x:c r="B5" s="10" t="str">
        <x:v>product_id</x:v>
      </x:c>
      <x:c r="C5" s="10" t="str">
        <x:v>week_index</x:v>
      </x:c>
      <x:c r="D5" s="10" t="str">
        <x:v>week_start</x:v>
      </x:c>
      <x:c r="E5" s="10" t="str">
        <x:v>production_date</x:v>
      </x:c>
      <x:c r="F5" s="10" t="str">
        <x:v>planned_volume_m3</x:v>
      </x:c>
      <x:c r="G5" s="10" t="str">
        <x:v>order_status</x:v>
      </x:c>
    </x:row>
    <x:row r="6" ht="19" customHeight="1">
      <x:c r="A6" s="14" t="str">
        <x:v>WO-0001</x:v>
      </x:c>
      <x:c r="B6" s="14" t="str">
        <x:v>MX25</x:v>
      </x:c>
      <x:c r="C6" s="14" t="n">
        <x:v>0</x:v>
      </x:c>
      <x:c r="D6" s="14" t="str">
        <x:v>2026-11-02</x:v>
      </x:c>
      <x:c r="E6" s="14" t="str">
        <x:v>2026-11-06</x:v>
      </x:c>
      <x:c r="F6" s="16" t="n">
        <x:v>21.7</x:v>
      </x:c>
      <x:c r="G6" s="14" t="str">
        <x:v>Simulated / planned</x:v>
      </x:c>
    </x:row>
    <x:row r="7" ht="19" customHeight="1">
      <x:c r="A7" s="14" t="str">
        <x:v>WO-0002</x:v>
      </x:c>
      <x:c r="B7" s="14" t="str">
        <x:v>MX25</x:v>
      </x:c>
      <x:c r="C7" s="14" t="n">
        <x:v>0</x:v>
      </x:c>
      <x:c r="D7" s="14" t="str">
        <x:v>2026-11-02</x:v>
      </x:c>
      <x:c r="E7" s="14" t="str">
        <x:v>2026-11-02</x:v>
      </x:c>
      <x:c r="F7" s="16" t="n">
        <x:v>14.7</x:v>
      </x:c>
      <x:c r="G7" s="14" t="str">
        <x:v>Simulated / planned</x:v>
      </x:c>
    </x:row>
    <x:row r="8" ht="19" customHeight="1">
      <x:c r="A8" s="14" t="str">
        <x:v>WO-0003</x:v>
      </x:c>
      <x:c r="B8" s="14" t="str">
        <x:v>MX25</x:v>
      </x:c>
      <x:c r="C8" s="14" t="n">
        <x:v>0</x:v>
      </x:c>
      <x:c r="D8" s="14" t="str">
        <x:v>2026-11-02</x:v>
      </x:c>
      <x:c r="E8" s="14" t="str">
        <x:v>2026-11-02</x:v>
      </x:c>
      <x:c r="F8" s="16" t="n">
        <x:v>18.7</x:v>
      </x:c>
      <x:c r="G8" s="14" t="str">
        <x:v>Simulated / planned</x:v>
      </x:c>
    </x:row>
    <x:row r="9" ht="19" customHeight="1">
      <x:c r="A9" s="14" t="str">
        <x:v>WO-0004</x:v>
      </x:c>
      <x:c r="B9" s="14" t="str">
        <x:v>MX35</x:v>
      </x:c>
      <x:c r="C9" s="14" t="n">
        <x:v>0</x:v>
      </x:c>
      <x:c r="D9" s="14" t="str">
        <x:v>2026-11-02</x:v>
      </x:c>
      <x:c r="E9" s="14" t="str">
        <x:v>2026-11-04</x:v>
      </x:c>
      <x:c r="F9" s="16" t="n">
        <x:v>25.7</x:v>
      </x:c>
      <x:c r="G9" s="14" t="str">
        <x:v>Simulated / planned</x:v>
      </x:c>
    </x:row>
    <x:row r="10" ht="19" customHeight="1">
      <x:c r="A10" s="14" t="str">
        <x:v>WO-0005</x:v>
      </x:c>
      <x:c r="B10" s="14" t="str">
        <x:v>MX35</x:v>
      </x:c>
      <x:c r="C10" s="14" t="n">
        <x:v>0</x:v>
      </x:c>
      <x:c r="D10" s="14" t="str">
        <x:v>2026-11-02</x:v>
      </x:c>
      <x:c r="E10" s="14" t="str">
        <x:v>2026-11-05</x:v>
      </x:c>
      <x:c r="F10" s="16" t="n">
        <x:v>22.1</x:v>
      </x:c>
      <x:c r="G10" s="14" t="str">
        <x:v>Simulated / planned</x:v>
      </x:c>
    </x:row>
    <x:row r="11" ht="19" customHeight="1">
      <x:c r="A11" s="14" t="str">
        <x:v>WO-0006</x:v>
      </x:c>
      <x:c r="B11" s="14" t="str">
        <x:v>MX35</x:v>
      </x:c>
      <x:c r="C11" s="14" t="n">
        <x:v>0</x:v>
      </x:c>
      <x:c r="D11" s="14" t="str">
        <x:v>2026-11-02</x:v>
      </x:c>
      <x:c r="E11" s="14" t="str">
        <x:v>2026-11-05</x:v>
      </x:c>
      <x:c r="F11" s="16" t="n">
        <x:v>23.8</x:v>
      </x:c>
      <x:c r="G11" s="14" t="str">
        <x:v>Simulated / planned</x:v>
      </x:c>
    </x:row>
    <x:row r="12" ht="19" customHeight="1">
      <x:c r="A12" s="14" t="str">
        <x:v>WO-0007</x:v>
      </x:c>
      <x:c r="B12" s="14" t="str">
        <x:v>MX45</x:v>
      </x:c>
      <x:c r="C12" s="14" t="n">
        <x:v>0</x:v>
      </x:c>
      <x:c r="D12" s="14" t="str">
        <x:v>2026-11-02</x:v>
      </x:c>
      <x:c r="E12" s="14" t="str">
        <x:v>2026-11-02</x:v>
      </x:c>
      <x:c r="F12" s="16" t="n">
        <x:v>18.1</x:v>
      </x:c>
      <x:c r="G12" s="14" t="str">
        <x:v>Simulated / planned</x:v>
      </x:c>
    </x:row>
    <x:row r="13" ht="19" customHeight="1">
      <x:c r="A13" s="14" t="str">
        <x:v>WO-0008</x:v>
      </x:c>
      <x:c r="B13" s="14" t="str">
        <x:v>MX45</x:v>
      </x:c>
      <x:c r="C13" s="14" t="n">
        <x:v>0</x:v>
      </x:c>
      <x:c r="D13" s="14" t="str">
        <x:v>2026-11-02</x:v>
      </x:c>
      <x:c r="E13" s="14" t="str">
        <x:v>2026-11-02</x:v>
      </x:c>
      <x:c r="F13" s="16" t="n">
        <x:v>25.1</x:v>
      </x:c>
      <x:c r="G13" s="14" t="str">
        <x:v>Simulated / planned</x:v>
      </x:c>
    </x:row>
    <x:row r="14" ht="19" customHeight="1">
      <x:c r="A14" s="14" t="str">
        <x:v>WO-0009</x:v>
      </x:c>
      <x:c r="B14" s="14" t="str">
        <x:v>MX45</x:v>
      </x:c>
      <x:c r="C14" s="14" t="n">
        <x:v>0</x:v>
      </x:c>
      <x:c r="D14" s="14" t="str">
        <x:v>2026-11-02</x:v>
      </x:c>
      <x:c r="E14" s="14" t="str">
        <x:v>2026-11-06</x:v>
      </x:c>
      <x:c r="F14" s="16" t="n">
        <x:v>15.9</x:v>
      </x:c>
      <x:c r="G14" s="14" t="str">
        <x:v>Simulated / planned</x:v>
      </x:c>
    </x:row>
    <x:row r="15" ht="19" customHeight="1">
      <x:c r="A15" s="14" t="str">
        <x:v>WO-0010</x:v>
      </x:c>
      <x:c r="B15" s="14" t="str">
        <x:v>MX55</x:v>
      </x:c>
      <x:c r="C15" s="14" t="n">
        <x:v>0</x:v>
      </x:c>
      <x:c r="D15" s="14" t="str">
        <x:v>2026-11-02</x:v>
      </x:c>
      <x:c r="E15" s="14" t="str">
        <x:v>2026-11-05</x:v>
      </x:c>
      <x:c r="F15" s="16" t="n">
        <x:v>19.2</x:v>
      </x:c>
      <x:c r="G15" s="14" t="str">
        <x:v>Simulated / planned</x:v>
      </x:c>
    </x:row>
    <x:row r="16" ht="19" customHeight="1">
      <x:c r="A16" s="14" t="str">
        <x:v>WO-0011</x:v>
      </x:c>
      <x:c r="B16" s="14" t="str">
        <x:v>MX55</x:v>
      </x:c>
      <x:c r="C16" s="14" t="n">
        <x:v>0</x:v>
      </x:c>
      <x:c r="D16" s="14" t="str">
        <x:v>2026-11-02</x:v>
      </x:c>
      <x:c r="E16" s="14" t="str">
        <x:v>2026-11-05</x:v>
      </x:c>
      <x:c r="F16" s="16" t="n">
        <x:v>22.9</x:v>
      </x:c>
      <x:c r="G16" s="14" t="str">
        <x:v>Simulated / planned</x:v>
      </x:c>
    </x:row>
    <x:row r="17" ht="19" customHeight="1">
      <x:c r="A17" s="14" t="str">
        <x:v>WO-0012</x:v>
      </x:c>
      <x:c r="B17" s="14" t="str">
        <x:v>MX55</x:v>
      </x:c>
      <x:c r="C17" s="14" t="n">
        <x:v>0</x:v>
      </x:c>
      <x:c r="D17" s="14" t="str">
        <x:v>2026-11-02</x:v>
      </x:c>
      <x:c r="E17" s="14" t="str">
        <x:v>2026-11-02</x:v>
      </x:c>
      <x:c r="F17" s="16" t="n">
        <x:v>24.6</x:v>
      </x:c>
      <x:c r="G17" s="14" t="str">
        <x:v>Simulated / planned</x:v>
      </x:c>
    </x:row>
    <x:row r="18" ht="19" customHeight="1">
      <x:c r="A18" s="14" t="str">
        <x:v>WO-0013</x:v>
      </x:c>
      <x:c r="B18" s="14" t="str">
        <x:v>MX25</x:v>
      </x:c>
      <x:c r="C18" s="14" t="n">
        <x:v>1</x:v>
      </x:c>
      <x:c r="D18" s="14" t="str">
        <x:v>2026-11-09</x:v>
      </x:c>
      <x:c r="E18" s="14" t="str">
        <x:v>2026-11-12</x:v>
      </x:c>
      <x:c r="F18" s="16" t="n">
        <x:v>20.8</x:v>
      </x:c>
      <x:c r="G18" s="14" t="str">
        <x:v>Simulated / planned</x:v>
      </x:c>
    </x:row>
    <x:row r="19" ht="19" customHeight="1">
      <x:c r="A19" s="14" t="str">
        <x:v>WO-0014</x:v>
      </x:c>
      <x:c r="B19" s="14" t="str">
        <x:v>MX25</x:v>
      </x:c>
      <x:c r="C19" s="14" t="n">
        <x:v>1</x:v>
      </x:c>
      <x:c r="D19" s="14" t="str">
        <x:v>2026-11-09</x:v>
      </x:c>
      <x:c r="E19" s="14" t="str">
        <x:v>2026-11-10</x:v>
      </x:c>
      <x:c r="F19" s="16" t="n">
        <x:v>24.7</x:v>
      </x:c>
      <x:c r="G19" s="14" t="str">
        <x:v>Simulated / planned</x:v>
      </x:c>
    </x:row>
    <x:row r="20" ht="19" customHeight="1">
      <x:c r="A20" s="14" t="str">
        <x:v>WO-0015</x:v>
      </x:c>
      <x:c r="B20" s="14" t="str">
        <x:v>MX25</x:v>
      </x:c>
      <x:c r="C20" s="14" t="n">
        <x:v>1</x:v>
      </x:c>
      <x:c r="D20" s="14" t="str">
        <x:v>2026-11-09</x:v>
      </x:c>
      <x:c r="E20" s="14" t="str">
        <x:v>2026-11-09</x:v>
      </x:c>
      <x:c r="F20" s="16" t="n">
        <x:v>24.6</x:v>
      </x:c>
      <x:c r="G20" s="14" t="str">
        <x:v>Simulated / planned</x:v>
      </x:c>
    </x:row>
    <x:row r="21" ht="19" customHeight="1">
      <x:c r="A21" s="14" t="str">
        <x:v>WO-0016</x:v>
      </x:c>
      <x:c r="B21" s="14" t="str">
        <x:v>MX35</x:v>
      </x:c>
      <x:c r="C21" s="14" t="n">
        <x:v>1</x:v>
      </x:c>
      <x:c r="D21" s="14" t="str">
        <x:v>2026-11-09</x:v>
      </x:c>
      <x:c r="E21" s="14" t="str">
        <x:v>2026-11-12</x:v>
      </x:c>
      <x:c r="F21" s="16" t="n">
        <x:v>17</x:v>
      </x:c>
      <x:c r="G21" s="14" t="str">
        <x:v>Simulated / planned</x:v>
      </x:c>
    </x:row>
    <x:row r="22" ht="19" customHeight="1">
      <x:c r="A22" s="14" t="str">
        <x:v>WO-0017</x:v>
      </x:c>
      <x:c r="B22" s="14" t="str">
        <x:v>MX35</x:v>
      </x:c>
      <x:c r="C22" s="14" t="n">
        <x:v>1</x:v>
      </x:c>
      <x:c r="D22" s="14" t="str">
        <x:v>2026-11-09</x:v>
      </x:c>
      <x:c r="E22" s="14" t="str">
        <x:v>2026-11-11</x:v>
      </x:c>
      <x:c r="F22" s="16" t="n">
        <x:v>18</x:v>
      </x:c>
      <x:c r="G22" s="14" t="str">
        <x:v>Simulated / planned</x:v>
      </x:c>
    </x:row>
    <x:row r="23" ht="19" customHeight="1">
      <x:c r="A23" s="14" t="str">
        <x:v>WO-0018</x:v>
      </x:c>
      <x:c r="B23" s="14" t="str">
        <x:v>MX35</x:v>
      </x:c>
      <x:c r="C23" s="14" t="n">
        <x:v>1</x:v>
      </x:c>
      <x:c r="D23" s="14" t="str">
        <x:v>2026-11-09</x:v>
      </x:c>
      <x:c r="E23" s="14" t="str">
        <x:v>2026-11-09</x:v>
      </x:c>
      <x:c r="F23" s="16" t="n">
        <x:v>19.1</x:v>
      </x:c>
      <x:c r="G23" s="14" t="str">
        <x:v>Simulated / planned</x:v>
      </x:c>
    </x:row>
    <x:row r="24" ht="19" customHeight="1">
      <x:c r="A24" s="14" t="str">
        <x:v>WO-0019</x:v>
      </x:c>
      <x:c r="B24" s="14" t="str">
        <x:v>MX45</x:v>
      </x:c>
      <x:c r="C24" s="14" t="n">
        <x:v>1</x:v>
      </x:c>
      <x:c r="D24" s="14" t="str">
        <x:v>2026-11-09</x:v>
      </x:c>
      <x:c r="E24" s="14" t="str">
        <x:v>2026-11-09</x:v>
      </x:c>
      <x:c r="F24" s="16" t="n">
        <x:v>24.2</x:v>
      </x:c>
      <x:c r="G24" s="14" t="str">
        <x:v>Simulated / planned</x:v>
      </x:c>
    </x:row>
    <x:row r="25" ht="19" customHeight="1">
      <x:c r="A25" s="14" t="str">
        <x:v>WO-0020</x:v>
      </x:c>
      <x:c r="B25" s="14" t="str">
        <x:v>MX45</x:v>
      </x:c>
      <x:c r="C25" s="14" t="n">
        <x:v>1</x:v>
      </x:c>
      <x:c r="D25" s="14" t="str">
        <x:v>2026-11-09</x:v>
      </x:c>
      <x:c r="E25" s="14" t="str">
        <x:v>2026-11-12</x:v>
      </x:c>
      <x:c r="F25" s="16" t="n">
        <x:v>19.4</x:v>
      </x:c>
      <x:c r="G25" s="14" t="str">
        <x:v>Simulated / planned</x:v>
      </x:c>
    </x:row>
    <x:row r="26" ht="19" customHeight="1">
      <x:c r="A26" s="14" t="str">
        <x:v>WO-0021</x:v>
      </x:c>
      <x:c r="B26" s="14" t="str">
        <x:v>MX45</x:v>
      </x:c>
      <x:c r="C26" s="14" t="n">
        <x:v>1</x:v>
      </x:c>
      <x:c r="D26" s="14" t="str">
        <x:v>2026-11-09</x:v>
      </x:c>
      <x:c r="E26" s="14" t="str">
        <x:v>2026-11-09</x:v>
      </x:c>
      <x:c r="F26" s="16" t="n">
        <x:v>26.9</x:v>
      </x:c>
      <x:c r="G26" s="14" t="str">
        <x:v>Simulated / planned</x:v>
      </x:c>
    </x:row>
    <x:row r="27" ht="19" customHeight="1">
      <x:c r="A27" s="14" t="str">
        <x:v>WO-0022</x:v>
      </x:c>
      <x:c r="B27" s="14" t="str">
        <x:v>MX55</x:v>
      </x:c>
      <x:c r="C27" s="14" t="n">
        <x:v>1</x:v>
      </x:c>
      <x:c r="D27" s="14" t="str">
        <x:v>2026-11-09</x:v>
      </x:c>
      <x:c r="E27" s="14" t="str">
        <x:v>2026-11-12</x:v>
      </x:c>
      <x:c r="F27" s="16" t="n">
        <x:v>26.6</x:v>
      </x:c>
      <x:c r="G27" s="14" t="str">
        <x:v>Simulated / planned</x:v>
      </x:c>
    </x:row>
    <x:row r="28" ht="19" customHeight="1">
      <x:c r="A28" s="14" t="str">
        <x:v>WO-0023</x:v>
      </x:c>
      <x:c r="B28" s="14" t="str">
        <x:v>MX55</x:v>
      </x:c>
      <x:c r="C28" s="14" t="n">
        <x:v>1</x:v>
      </x:c>
      <x:c r="D28" s="14" t="str">
        <x:v>2026-11-09</x:v>
      </x:c>
      <x:c r="E28" s="14" t="str">
        <x:v>2026-11-09</x:v>
      </x:c>
      <x:c r="F28" s="16" t="n">
        <x:v>24.2</x:v>
      </x:c>
      <x:c r="G28" s="14" t="str">
        <x:v>Simulated / planned</x:v>
      </x:c>
    </x:row>
    <x:row r="29" ht="19" customHeight="1">
      <x:c r="A29" s="14" t="str">
        <x:v>WO-0024</x:v>
      </x:c>
      <x:c r="B29" s="14" t="str">
        <x:v>MX55</x:v>
      </x:c>
      <x:c r="C29" s="14" t="n">
        <x:v>1</x:v>
      </x:c>
      <x:c r="D29" s="14" t="str">
        <x:v>2026-11-09</x:v>
      </x:c>
      <x:c r="E29" s="14" t="str">
        <x:v>2026-11-09</x:v>
      </x:c>
      <x:c r="F29" s="16" t="n">
        <x:v>20.1</x:v>
      </x:c>
      <x:c r="G29" s="14" t="str">
        <x:v>Simulated / planned</x:v>
      </x:c>
    </x:row>
    <x:row r="30" ht="19" customHeight="1">
      <x:c r="A30" s="14" t="str">
        <x:v>WO-0025</x:v>
      </x:c>
      <x:c r="B30" s="14" t="str">
        <x:v>MX25</x:v>
      </x:c>
      <x:c r="C30" s="14" t="n">
        <x:v>2</x:v>
      </x:c>
      <x:c r="D30" s="14" t="str">
        <x:v>2026-11-16</x:v>
      </x:c>
      <x:c r="E30" s="14" t="str">
        <x:v>2026-11-18</x:v>
      </x:c>
      <x:c r="F30" s="16" t="n">
        <x:v>15.1</x:v>
      </x:c>
      <x:c r="G30" s="14" t="str">
        <x:v>Simulated / planned</x:v>
      </x:c>
    </x:row>
    <x:row r="31" ht="19" customHeight="1">
      <x:c r="A31" s="14" t="str">
        <x:v>WO-0026</x:v>
      </x:c>
      <x:c r="B31" s="14" t="str">
        <x:v>MX25</x:v>
      </x:c>
      <x:c r="C31" s="14" t="n">
        <x:v>2</x:v>
      </x:c>
      <x:c r="D31" s="14" t="str">
        <x:v>2026-11-16</x:v>
      </x:c>
      <x:c r="E31" s="14" t="str">
        <x:v>2026-11-18</x:v>
      </x:c>
      <x:c r="F31" s="16" t="n">
        <x:v>20.3</x:v>
      </x:c>
      <x:c r="G31" s="14" t="str">
        <x:v>Simulated / planned</x:v>
      </x:c>
    </x:row>
    <x:row r="32" ht="19" customHeight="1">
      <x:c r="A32" s="14" t="str">
        <x:v>WO-0027</x:v>
      </x:c>
      <x:c r="B32" s="14" t="str">
        <x:v>MX25</x:v>
      </x:c>
      <x:c r="C32" s="14" t="n">
        <x:v>2</x:v>
      </x:c>
      <x:c r="D32" s="14" t="str">
        <x:v>2026-11-16</x:v>
      </x:c>
      <x:c r="E32" s="14" t="str">
        <x:v>2026-11-16</x:v>
      </x:c>
      <x:c r="F32" s="16" t="n">
        <x:v>17.3</x:v>
      </x:c>
      <x:c r="G32" s="14" t="str">
        <x:v>Simulated / planned</x:v>
      </x:c>
    </x:row>
    <x:row r="33" ht="19" customHeight="1">
      <x:c r="A33" s="14" t="str">
        <x:v>WO-0028</x:v>
      </x:c>
      <x:c r="B33" s="14" t="str">
        <x:v>MX35</x:v>
      </x:c>
      <x:c r="C33" s="14" t="n">
        <x:v>2</x:v>
      </x:c>
      <x:c r="D33" s="14" t="str">
        <x:v>2026-11-16</x:v>
      </x:c>
      <x:c r="E33" s="14" t="str">
        <x:v>2026-11-17</x:v>
      </x:c>
      <x:c r="F33" s="16" t="n">
        <x:v>17.9</x:v>
      </x:c>
      <x:c r="G33" s="14" t="str">
        <x:v>Simulated / planned</x:v>
      </x:c>
    </x:row>
    <x:row r="34" ht="19" customHeight="1">
      <x:c r="A34" s="14" t="str">
        <x:v>WO-0029</x:v>
      </x:c>
      <x:c r="B34" s="14" t="str">
        <x:v>MX35</x:v>
      </x:c>
      <x:c r="C34" s="14" t="n">
        <x:v>2</x:v>
      </x:c>
      <x:c r="D34" s="14" t="str">
        <x:v>2026-11-16</x:v>
      </x:c>
      <x:c r="E34" s="14" t="str">
        <x:v>2026-11-19</x:v>
      </x:c>
      <x:c r="F34" s="16" t="n">
        <x:v>20.6</x:v>
      </x:c>
      <x:c r="G34" s="14" t="str">
        <x:v>Simulated / planned</x:v>
      </x:c>
    </x:row>
    <x:row r="35" ht="19" customHeight="1">
      <x:c r="A35" s="14" t="str">
        <x:v>WO-0030</x:v>
      </x:c>
      <x:c r="B35" s="14" t="str">
        <x:v>MX35</x:v>
      </x:c>
      <x:c r="C35" s="14" t="n">
        <x:v>2</x:v>
      </x:c>
      <x:c r="D35" s="14" t="str">
        <x:v>2026-11-16</x:v>
      </x:c>
      <x:c r="E35" s="14" t="str">
        <x:v>2026-11-18</x:v>
      </x:c>
      <x:c r="F35" s="16" t="n">
        <x:v>17</x:v>
      </x:c>
      <x:c r="G35" s="14" t="str">
        <x:v>Simulated / planned</x:v>
      </x:c>
    </x:row>
    <x:row r="36" ht="19" customHeight="1">
      <x:c r="A36" s="14" t="str">
        <x:v>WO-0031</x:v>
      </x:c>
      <x:c r="B36" s="14" t="str">
        <x:v>MX45</x:v>
      </x:c>
      <x:c r="C36" s="14" t="n">
        <x:v>2</x:v>
      </x:c>
      <x:c r="D36" s="14" t="str">
        <x:v>2026-11-16</x:v>
      </x:c>
      <x:c r="E36" s="14" t="str">
        <x:v>2026-11-18</x:v>
      </x:c>
      <x:c r="F36" s="16" t="n">
        <x:v>17.9</x:v>
      </x:c>
      <x:c r="G36" s="14" t="str">
        <x:v>Simulated / planned</x:v>
      </x:c>
    </x:row>
    <x:row r="37" ht="19" customHeight="1">
      <x:c r="A37" s="14" t="str">
        <x:v>WO-0032</x:v>
      </x:c>
      <x:c r="B37" s="14" t="str">
        <x:v>MX45</x:v>
      </x:c>
      <x:c r="C37" s="14" t="n">
        <x:v>2</x:v>
      </x:c>
      <x:c r="D37" s="14" t="str">
        <x:v>2026-11-16</x:v>
      </x:c>
      <x:c r="E37" s="14" t="str">
        <x:v>2026-11-20</x:v>
      </x:c>
      <x:c r="F37" s="16" t="n">
        <x:v>27.7</x:v>
      </x:c>
      <x:c r="G37" s="14" t="str">
        <x:v>Simulated / planned</x:v>
      </x:c>
    </x:row>
    <x:row r="38" ht="19" customHeight="1">
      <x:c r="A38" s="14" t="str">
        <x:v>WO-0033</x:v>
      </x:c>
      <x:c r="B38" s="14" t="str">
        <x:v>MX45</x:v>
      </x:c>
      <x:c r="C38" s="14" t="n">
        <x:v>2</x:v>
      </x:c>
      <x:c r="D38" s="14" t="str">
        <x:v>2026-11-16</x:v>
      </x:c>
      <x:c r="E38" s="14" t="str">
        <x:v>2026-11-19</x:v>
      </x:c>
      <x:c r="F38" s="16" t="n">
        <x:v>20.8</x:v>
      </x:c>
      <x:c r="G38" s="14" t="str">
        <x:v>Simulated / planned</x:v>
      </x:c>
    </x:row>
    <x:row r="39" ht="19" customHeight="1">
      <x:c r="A39" s="14" t="str">
        <x:v>WO-0034</x:v>
      </x:c>
      <x:c r="B39" s="14" t="str">
        <x:v>MX55</x:v>
      </x:c>
      <x:c r="C39" s="14" t="n">
        <x:v>2</x:v>
      </x:c>
      <x:c r="D39" s="14" t="str">
        <x:v>2026-11-16</x:v>
      </x:c>
      <x:c r="E39" s="14" t="str">
        <x:v>2026-11-16</x:v>
      </x:c>
      <x:c r="F39" s="16" t="n">
        <x:v>30.1</x:v>
      </x:c>
      <x:c r="G39" s="14" t="str">
        <x:v>Simulated / planned</x:v>
      </x:c>
    </x:row>
    <x:row r="40" ht="19" customHeight="1">
      <x:c r="A40" s="14" t="str">
        <x:v>WO-0035</x:v>
      </x:c>
      <x:c r="B40" s="14" t="str">
        <x:v>MX55</x:v>
      </x:c>
      <x:c r="C40" s="14" t="n">
        <x:v>2</x:v>
      </x:c>
      <x:c r="D40" s="14" t="str">
        <x:v>2026-11-16</x:v>
      </x:c>
      <x:c r="E40" s="14" t="str">
        <x:v>2026-11-18</x:v>
      </x:c>
      <x:c r="F40" s="16" t="n">
        <x:v>19.1</x:v>
      </x:c>
      <x:c r="G40" s="14" t="str">
        <x:v>Simulated / planned</x:v>
      </x:c>
    </x:row>
    <x:row r="41" ht="19" customHeight="1">
      <x:c r="A41" s="14" t="str">
        <x:v>WO-0036</x:v>
      </x:c>
      <x:c r="B41" s="14" t="str">
        <x:v>MX55</x:v>
      </x:c>
      <x:c r="C41" s="14" t="n">
        <x:v>2</x:v>
      </x:c>
      <x:c r="D41" s="14" t="str">
        <x:v>2026-11-16</x:v>
      </x:c>
      <x:c r="E41" s="14" t="str">
        <x:v>2026-11-17</x:v>
      </x:c>
      <x:c r="F41" s="16" t="n">
        <x:v>17.9</x:v>
      </x:c>
      <x:c r="G41" s="14" t="str">
        <x:v>Simulated / planned</x:v>
      </x:c>
    </x:row>
    <x:row r="42" ht="19" customHeight="1">
      <x:c r="A42" s="14" t="str">
        <x:v>WO-0037</x:v>
      </x:c>
      <x:c r="B42" s="14" t="str">
        <x:v>MX25</x:v>
      </x:c>
      <x:c r="C42" s="14" t="n">
        <x:v>3</x:v>
      </x:c>
      <x:c r="D42" s="14" t="str">
        <x:v>2026-11-23</x:v>
      </x:c>
      <x:c r="E42" s="14" t="str">
        <x:v>2026-11-23</x:v>
      </x:c>
      <x:c r="F42" s="16" t="n">
        <x:v>29.7</x:v>
      </x:c>
      <x:c r="G42" s="14" t="str">
        <x:v>Simulated / planned</x:v>
      </x:c>
    </x:row>
    <x:row r="43" ht="19" customHeight="1">
      <x:c r="A43" s="14" t="str">
        <x:v>WO-0038</x:v>
      </x:c>
      <x:c r="B43" s="14" t="str">
        <x:v>MX25</x:v>
      </x:c>
      <x:c r="C43" s="14" t="n">
        <x:v>3</x:v>
      </x:c>
      <x:c r="D43" s="14" t="str">
        <x:v>2026-11-23</x:v>
      </x:c>
      <x:c r="E43" s="14" t="str">
        <x:v>2026-11-24</x:v>
      </x:c>
      <x:c r="F43" s="16" t="n">
        <x:v>21</x:v>
      </x:c>
      <x:c r="G43" s="14" t="str">
        <x:v>Simulated / planned</x:v>
      </x:c>
    </x:row>
    <x:row r="44" ht="19" customHeight="1">
      <x:c r="A44" s="14" t="str">
        <x:v>WO-0039</x:v>
      </x:c>
      <x:c r="B44" s="14" t="str">
        <x:v>MX25</x:v>
      </x:c>
      <x:c r="C44" s="14" t="n">
        <x:v>3</x:v>
      </x:c>
      <x:c r="D44" s="14" t="str">
        <x:v>2026-11-23</x:v>
      </x:c>
      <x:c r="E44" s="14" t="str">
        <x:v>2026-11-26</x:v>
      </x:c>
      <x:c r="F44" s="16" t="n">
        <x:v>27.4</x:v>
      </x:c>
      <x:c r="G44" s="14" t="str">
        <x:v>Simulated / planned</x:v>
      </x:c>
    </x:row>
    <x:row r="45" ht="19" customHeight="1">
      <x:c r="A45" s="14" t="str">
        <x:v>WO-0040</x:v>
      </x:c>
      <x:c r="B45" s="14" t="str">
        <x:v>MX35</x:v>
      </x:c>
      <x:c r="C45" s="14" t="n">
        <x:v>3</x:v>
      </x:c>
      <x:c r="D45" s="14" t="str">
        <x:v>2026-11-23</x:v>
      </x:c>
      <x:c r="E45" s="14" t="str">
        <x:v>2026-11-23</x:v>
      </x:c>
      <x:c r="F45" s="16" t="n">
        <x:v>22.9</x:v>
      </x:c>
      <x:c r="G45" s="14" t="str">
        <x:v>Simulated / planned</x:v>
      </x:c>
    </x:row>
    <x:row r="46" ht="19" customHeight="1">
      <x:c r="A46" s="14" t="str">
        <x:v>WO-0041</x:v>
      </x:c>
      <x:c r="B46" s="14" t="str">
        <x:v>MX35</x:v>
      </x:c>
      <x:c r="C46" s="14" t="n">
        <x:v>3</x:v>
      </x:c>
      <x:c r="D46" s="14" t="str">
        <x:v>2026-11-23</x:v>
      </x:c>
      <x:c r="E46" s="14" t="str">
        <x:v>2026-11-24</x:v>
      </x:c>
      <x:c r="F46" s="16" t="n">
        <x:v>26.1</x:v>
      </x:c>
      <x:c r="G46" s="14" t="str">
        <x:v>Simulated / planned</x:v>
      </x:c>
    </x:row>
    <x:row r="47" ht="19" customHeight="1">
      <x:c r="A47" s="14" t="str">
        <x:v>WO-0042</x:v>
      </x:c>
      <x:c r="B47" s="14" t="str">
        <x:v>MX35</x:v>
      </x:c>
      <x:c r="C47" s="14" t="n">
        <x:v>3</x:v>
      </x:c>
      <x:c r="D47" s="14" t="str">
        <x:v>2026-11-23</x:v>
      </x:c>
      <x:c r="E47" s="14" t="str">
        <x:v>2026-11-24</x:v>
      </x:c>
      <x:c r="F47" s="16" t="n">
        <x:v>24.6</x:v>
      </x:c>
      <x:c r="G47" s="14" t="str">
        <x:v>Simulated / planned</x:v>
      </x:c>
    </x:row>
    <x:row r="48" ht="19" customHeight="1">
      <x:c r="A48" s="14" t="str">
        <x:v>WO-0043</x:v>
      </x:c>
      <x:c r="B48" s="14" t="str">
        <x:v>MX45</x:v>
      </x:c>
      <x:c r="C48" s="14" t="n">
        <x:v>3</x:v>
      </x:c>
      <x:c r="D48" s="14" t="str">
        <x:v>2026-11-23</x:v>
      </x:c>
      <x:c r="E48" s="14" t="str">
        <x:v>2026-11-23</x:v>
      </x:c>
      <x:c r="F48" s="16" t="n">
        <x:v>15.6</x:v>
      </x:c>
      <x:c r="G48" s="14" t="str">
        <x:v>Simulated / planned</x:v>
      </x:c>
    </x:row>
    <x:row r="49" ht="19" customHeight="1">
      <x:c r="A49" s="14" t="str">
        <x:v>WO-0044</x:v>
      </x:c>
      <x:c r="B49" s="14" t="str">
        <x:v>MX45</x:v>
      </x:c>
      <x:c r="C49" s="14" t="n">
        <x:v>3</x:v>
      </x:c>
      <x:c r="D49" s="14" t="str">
        <x:v>2026-11-23</x:v>
      </x:c>
      <x:c r="E49" s="14" t="str">
        <x:v>2026-11-26</x:v>
      </x:c>
      <x:c r="F49" s="16" t="n">
        <x:v>18.8</x:v>
      </x:c>
      <x:c r="G49" s="14" t="str">
        <x:v>Simulated / planned</x:v>
      </x:c>
    </x:row>
    <x:row r="50" ht="19" customHeight="1">
      <x:c r="A50" s="14" t="str">
        <x:v>WO-0045</x:v>
      </x:c>
      <x:c r="B50" s="14" t="str">
        <x:v>MX45</x:v>
      </x:c>
      <x:c r="C50" s="14" t="n">
        <x:v>3</x:v>
      </x:c>
      <x:c r="D50" s="14" t="str">
        <x:v>2026-11-23</x:v>
      </x:c>
      <x:c r="E50" s="14" t="str">
        <x:v>2026-11-25</x:v>
      </x:c>
      <x:c r="F50" s="16" t="n">
        <x:v>28.1</x:v>
      </x:c>
      <x:c r="G50" s="14" t="str">
        <x:v>Simulated / planned</x:v>
      </x:c>
    </x:row>
    <x:row r="51" ht="19" customHeight="1">
      <x:c r="A51" s="14" t="str">
        <x:v>WO-0046</x:v>
      </x:c>
      <x:c r="B51" s="14" t="str">
        <x:v>MX55</x:v>
      </x:c>
      <x:c r="C51" s="14" t="n">
        <x:v>3</x:v>
      </x:c>
      <x:c r="D51" s="14" t="str">
        <x:v>2026-11-23</x:v>
      </x:c>
      <x:c r="E51" s="14" t="str">
        <x:v>2026-11-23</x:v>
      </x:c>
      <x:c r="F51" s="16" t="n">
        <x:v>22.9</x:v>
      </x:c>
      <x:c r="G51" s="14" t="str">
        <x:v>Simulated / planned</x:v>
      </x:c>
    </x:row>
    <x:row r="52" ht="19" customHeight="1">
      <x:c r="A52" s="14" t="str">
        <x:v>WO-0047</x:v>
      </x:c>
      <x:c r="B52" s="14" t="str">
        <x:v>MX55</x:v>
      </x:c>
      <x:c r="C52" s="14" t="n">
        <x:v>3</x:v>
      </x:c>
      <x:c r="D52" s="14" t="str">
        <x:v>2026-11-23</x:v>
      </x:c>
      <x:c r="E52" s="14" t="str">
        <x:v>2026-11-27</x:v>
      </x:c>
      <x:c r="F52" s="16" t="n">
        <x:v>23.7</x:v>
      </x:c>
      <x:c r="G52" s="14" t="str">
        <x:v>Simulated / planned</x:v>
      </x:c>
    </x:row>
    <x:row r="53" ht="19" customHeight="1">
      <x:c r="A53" s="14" t="str">
        <x:v>WO-0048</x:v>
      </x:c>
      <x:c r="B53" s="14" t="str">
        <x:v>MX55</x:v>
      </x:c>
      <x:c r="C53" s="14" t="n">
        <x:v>3</x:v>
      </x:c>
      <x:c r="D53" s="14" t="str">
        <x:v>2026-11-23</x:v>
      </x:c>
      <x:c r="E53" s="14" t="str">
        <x:v>2026-11-24</x:v>
      </x:c>
      <x:c r="F53" s="16" t="n">
        <x:v>17.6</x:v>
      </x:c>
      <x:c r="G53" s="14" t="str">
        <x:v>Simulated / planned</x:v>
      </x:c>
    </x:row>
    <x:row r="54" ht="19" customHeight="1">
      <x:c r="A54" s="14" t="str">
        <x:v>WO-0049</x:v>
      </x:c>
      <x:c r="B54" s="14" t="str">
        <x:v>MX25</x:v>
      </x:c>
      <x:c r="C54" s="14" t="n">
        <x:v>4</x:v>
      </x:c>
      <x:c r="D54" s="14" t="str">
        <x:v>2026-11-30</x:v>
      </x:c>
      <x:c r="E54" s="14" t="str">
        <x:v>2026-12-02</x:v>
      </x:c>
      <x:c r="F54" s="16" t="n">
        <x:v>26.4</x:v>
      </x:c>
      <x:c r="G54" s="14" t="str">
        <x:v>Simulated / planned</x:v>
      </x:c>
    </x:row>
    <x:row r="55" ht="19" customHeight="1">
      <x:c r="A55" s="14" t="str">
        <x:v>WO-0050</x:v>
      </x:c>
      <x:c r="B55" s="14" t="str">
        <x:v>MX25</x:v>
      </x:c>
      <x:c r="C55" s="14" t="n">
        <x:v>4</x:v>
      </x:c>
      <x:c r="D55" s="14" t="str">
        <x:v>2026-11-30</x:v>
      </x:c>
      <x:c r="E55" s="14" t="str">
        <x:v>2026-12-01</x:v>
      </x:c>
      <x:c r="F55" s="16" t="n">
        <x:v>18.4</x:v>
      </x:c>
      <x:c r="G55" s="14" t="str">
        <x:v>Simulated / planned</x:v>
      </x:c>
    </x:row>
    <x:row r="56" ht="19" customHeight="1">
      <x:c r="A56" s="14" t="str">
        <x:v>WO-0051</x:v>
      </x:c>
      <x:c r="B56" s="14" t="str">
        <x:v>MX25</x:v>
      </x:c>
      <x:c r="C56" s="14" t="n">
        <x:v>4</x:v>
      </x:c>
      <x:c r="D56" s="14" t="str">
        <x:v>2026-11-30</x:v>
      </x:c>
      <x:c r="E56" s="14" t="str">
        <x:v>2026-12-04</x:v>
      </x:c>
      <x:c r="F56" s="16" t="n">
        <x:v>24.1</x:v>
      </x:c>
      <x:c r="G56" s="14" t="str">
        <x:v>Simulated / planned</x:v>
      </x:c>
    </x:row>
    <x:row r="57" ht="19" customHeight="1">
      <x:c r="A57" s="14" t="str">
        <x:v>WO-0052</x:v>
      </x:c>
      <x:c r="B57" s="14" t="str">
        <x:v>MX35</x:v>
      </x:c>
      <x:c r="C57" s="14" t="n">
        <x:v>4</x:v>
      </x:c>
      <x:c r="D57" s="14" t="str">
        <x:v>2026-11-30</x:v>
      </x:c>
      <x:c r="E57" s="14" t="str">
        <x:v>2026-12-01</x:v>
      </x:c>
      <x:c r="F57" s="16" t="n">
        <x:v>31.8</x:v>
      </x:c>
      <x:c r="G57" s="14" t="str">
        <x:v>Simulated / planned</x:v>
      </x:c>
    </x:row>
    <x:row r="58" ht="19" customHeight="1">
      <x:c r="A58" s="14" t="str">
        <x:v>WO-0053</x:v>
      </x:c>
      <x:c r="B58" s="14" t="str">
        <x:v>MX35</x:v>
      </x:c>
      <x:c r="C58" s="14" t="n">
        <x:v>4</x:v>
      </x:c>
      <x:c r="D58" s="14" t="str">
        <x:v>2026-11-30</x:v>
      </x:c>
      <x:c r="E58" s="14" t="str">
        <x:v>2026-12-04</x:v>
      </x:c>
      <x:c r="F58" s="16" t="n">
        <x:v>16.2</x:v>
      </x:c>
      <x:c r="G58" s="14" t="str">
        <x:v>Simulated / planned</x:v>
      </x:c>
    </x:row>
    <x:row r="59" ht="19" customHeight="1">
      <x:c r="A59" s="14" t="str">
        <x:v>WO-0054</x:v>
      </x:c>
      <x:c r="B59" s="14" t="str">
        <x:v>MX35</x:v>
      </x:c>
      <x:c r="C59" s="14" t="n">
        <x:v>4</x:v>
      </x:c>
      <x:c r="D59" s="14" t="str">
        <x:v>2026-11-30</x:v>
      </x:c>
      <x:c r="E59" s="14" t="str">
        <x:v>2026-11-30</x:v>
      </x:c>
      <x:c r="F59" s="16" t="n">
        <x:v>23.8</x:v>
      </x:c>
      <x:c r="G59" s="14" t="str">
        <x:v>Simulated / planned</x:v>
      </x:c>
    </x:row>
    <x:row r="60" ht="19" customHeight="1">
      <x:c r="A60" s="14" t="str">
        <x:v>WO-0055</x:v>
      </x:c>
      <x:c r="B60" s="14" t="str">
        <x:v>MX45</x:v>
      </x:c>
      <x:c r="C60" s="14" t="n">
        <x:v>4</x:v>
      </x:c>
      <x:c r="D60" s="14" t="str">
        <x:v>2026-11-30</x:v>
      </x:c>
      <x:c r="E60" s="14" t="str">
        <x:v>2026-12-02</x:v>
      </x:c>
      <x:c r="F60" s="16" t="n">
        <x:v>31.2</x:v>
      </x:c>
      <x:c r="G60" s="14" t="str">
        <x:v>Simulated / planned</x:v>
      </x:c>
    </x:row>
    <x:row r="61" ht="19" customHeight="1">
      <x:c r="A61" s="14" t="str">
        <x:v>WO-0056</x:v>
      </x:c>
      <x:c r="B61" s="14" t="str">
        <x:v>MX45</x:v>
      </x:c>
      <x:c r="C61" s="14" t="n">
        <x:v>4</x:v>
      </x:c>
      <x:c r="D61" s="14" t="str">
        <x:v>2026-11-30</x:v>
      </x:c>
      <x:c r="E61" s="14" t="str">
        <x:v>2026-12-02</x:v>
      </x:c>
      <x:c r="F61" s="16" t="n">
        <x:v>20</x:v>
      </x:c>
      <x:c r="G61" s="14" t="str">
        <x:v>Simulated / planned</x:v>
      </x:c>
    </x:row>
    <x:row r="62" ht="19" customHeight="1">
      <x:c r="A62" s="14" t="str">
        <x:v>WO-0057</x:v>
      </x:c>
      <x:c r="B62" s="14" t="str">
        <x:v>MX45</x:v>
      </x:c>
      <x:c r="C62" s="14" t="n">
        <x:v>4</x:v>
      </x:c>
      <x:c r="D62" s="14" t="str">
        <x:v>2026-11-30</x:v>
      </x:c>
      <x:c r="E62" s="14" t="str">
        <x:v>2026-11-30</x:v>
      </x:c>
      <x:c r="F62" s="16" t="n">
        <x:v>23.5</x:v>
      </x:c>
      <x:c r="G62" s="14" t="str">
        <x:v>Simulated / planned</x:v>
      </x:c>
    </x:row>
    <x:row r="63" ht="19" customHeight="1">
      <x:c r="A63" s="14" t="str">
        <x:v>WO-0058</x:v>
      </x:c>
      <x:c r="B63" s="14" t="str">
        <x:v>MX55</x:v>
      </x:c>
      <x:c r="C63" s="14" t="n">
        <x:v>4</x:v>
      </x:c>
      <x:c r="D63" s="14" t="str">
        <x:v>2026-11-30</x:v>
      </x:c>
      <x:c r="E63" s="14" t="str">
        <x:v>2026-12-01</x:v>
      </x:c>
      <x:c r="F63" s="16" t="n">
        <x:v>25.7</x:v>
      </x:c>
      <x:c r="G63" s="14" t="str">
        <x:v>Simulated / planned</x:v>
      </x:c>
    </x:row>
    <x:row r="64" ht="19" customHeight="1">
      <x:c r="A64" s="14" t="str">
        <x:v>WO-0059</x:v>
      </x:c>
      <x:c r="B64" s="14" t="str">
        <x:v>MX55</x:v>
      </x:c>
      <x:c r="C64" s="14" t="n">
        <x:v>4</x:v>
      </x:c>
      <x:c r="D64" s="14" t="str">
        <x:v>2026-11-30</x:v>
      </x:c>
      <x:c r="E64" s="14" t="str">
        <x:v>2026-12-01</x:v>
      </x:c>
      <x:c r="F64" s="16" t="n">
        <x:v>22</x:v>
      </x:c>
      <x:c r="G64" s="14" t="str">
        <x:v>Simulated / planned</x:v>
      </x:c>
    </x:row>
    <x:row r="65" ht="19" customHeight="1">
      <x:c r="A65" s="14" t="str">
        <x:v>WO-0060</x:v>
      </x:c>
      <x:c r="B65" s="14" t="str">
        <x:v>MX55</x:v>
      </x:c>
      <x:c r="C65" s="14" t="n">
        <x:v>4</x:v>
      </x:c>
      <x:c r="D65" s="14" t="str">
        <x:v>2026-11-30</x:v>
      </x:c>
      <x:c r="E65" s="14" t="str">
        <x:v>2026-11-30</x:v>
      </x:c>
      <x:c r="F65" s="16" t="n">
        <x:v>17.8</x:v>
      </x:c>
      <x:c r="G65" s="14" t="str">
        <x:v>Simulated / planned</x:v>
      </x:c>
    </x:row>
    <x:row r="66" ht="19" customHeight="1">
      <x:c r="A66" s="14" t="str">
        <x:v>WO-0061</x:v>
      </x:c>
      <x:c r="B66" s="14" t="str">
        <x:v>MX25</x:v>
      </x:c>
      <x:c r="C66" s="14" t="n">
        <x:v>5</x:v>
      </x:c>
      <x:c r="D66" s="14" t="str">
        <x:v>2026-12-07</x:v>
      </x:c>
      <x:c r="E66" s="14" t="str">
        <x:v>2026-12-10</x:v>
      </x:c>
      <x:c r="F66" s="16" t="n">
        <x:v>19.4</x:v>
      </x:c>
      <x:c r="G66" s="14" t="str">
        <x:v>Simulated / planned</x:v>
      </x:c>
    </x:row>
    <x:row r="67" ht="19" customHeight="1">
      <x:c r="A67" s="14" t="str">
        <x:v>WO-0062</x:v>
      </x:c>
      <x:c r="B67" s="14" t="str">
        <x:v>MX25</x:v>
      </x:c>
      <x:c r="C67" s="14" t="n">
        <x:v>5</x:v>
      </x:c>
      <x:c r="D67" s="14" t="str">
        <x:v>2026-12-07</x:v>
      </x:c>
      <x:c r="E67" s="14" t="str">
        <x:v>2026-12-11</x:v>
      </x:c>
      <x:c r="F67" s="16" t="n">
        <x:v>25</x:v>
      </x:c>
      <x:c r="G67" s="14" t="str">
        <x:v>Simulated / planned</x:v>
      </x:c>
    </x:row>
    <x:row r="68" ht="19" customHeight="1">
      <x:c r="A68" s="14" t="str">
        <x:v>WO-0063</x:v>
      </x:c>
      <x:c r="B68" s="14" t="str">
        <x:v>MX25</x:v>
      </x:c>
      <x:c r="C68" s="14" t="n">
        <x:v>5</x:v>
      </x:c>
      <x:c r="D68" s="14" t="str">
        <x:v>2026-12-07</x:v>
      </x:c>
      <x:c r="E68" s="14" t="str">
        <x:v>2026-12-09</x:v>
      </x:c>
      <x:c r="F68" s="16" t="n">
        <x:v>14.6</x:v>
      </x:c>
      <x:c r="G68" s="14" t="str">
        <x:v>Simulated / planned</x:v>
      </x:c>
    </x:row>
    <x:row r="69" ht="19" customHeight="1">
      <x:c r="A69" s="14" t="str">
        <x:v>WO-0064</x:v>
      </x:c>
      <x:c r="B69" s="14" t="str">
        <x:v>MX35</x:v>
      </x:c>
      <x:c r="C69" s="14" t="n">
        <x:v>5</x:v>
      </x:c>
      <x:c r="D69" s="14" t="str">
        <x:v>2026-12-07</x:v>
      </x:c>
      <x:c r="E69" s="14" t="str">
        <x:v>2026-12-07</x:v>
      </x:c>
      <x:c r="F69" s="16" t="n">
        <x:v>25.5</x:v>
      </x:c>
      <x:c r="G69" s="14" t="str">
        <x:v>Simulated / planned</x:v>
      </x:c>
    </x:row>
    <x:row r="70" ht="19" customHeight="1">
      <x:c r="A70" s="14" t="str">
        <x:v>WO-0065</x:v>
      </x:c>
      <x:c r="B70" s="14" t="str">
        <x:v>MX35</x:v>
      </x:c>
      <x:c r="C70" s="14" t="n">
        <x:v>5</x:v>
      </x:c>
      <x:c r="D70" s="14" t="str">
        <x:v>2026-12-07</x:v>
      </x:c>
      <x:c r="E70" s="14" t="str">
        <x:v>2026-12-10</x:v>
      </x:c>
      <x:c r="F70" s="16" t="n">
        <x:v>15.1</x:v>
      </x:c>
      <x:c r="G70" s="14" t="str">
        <x:v>Simulated / planned</x:v>
      </x:c>
    </x:row>
    <x:row r="71" ht="19" customHeight="1">
      <x:c r="A71" s="14" t="str">
        <x:v>WO-0066</x:v>
      </x:c>
      <x:c r="B71" s="14" t="str">
        <x:v>MX35</x:v>
      </x:c>
      <x:c r="C71" s="14" t="n">
        <x:v>5</x:v>
      </x:c>
      <x:c r="D71" s="14" t="str">
        <x:v>2026-12-07</x:v>
      </x:c>
      <x:c r="E71" s="14" t="str">
        <x:v>2026-12-10</x:v>
      </x:c>
      <x:c r="F71" s="16" t="n">
        <x:v>18</x:v>
      </x:c>
      <x:c r="G71" s="14" t="str">
        <x:v>Simulated / planned</x:v>
      </x:c>
    </x:row>
    <x:row r="72" ht="19" customHeight="1">
      <x:c r="A72" s="14" t="str">
        <x:v>WO-0067</x:v>
      </x:c>
      <x:c r="B72" s="14" t="str">
        <x:v>MX45</x:v>
      </x:c>
      <x:c r="C72" s="14" t="n">
        <x:v>5</x:v>
      </x:c>
      <x:c r="D72" s="14" t="str">
        <x:v>2026-12-07</x:v>
      </x:c>
      <x:c r="E72" s="14" t="str">
        <x:v>2026-12-11</x:v>
      </x:c>
      <x:c r="F72" s="16" t="n">
        <x:v>20.8</x:v>
      </x:c>
      <x:c r="G72" s="14" t="str">
        <x:v>Simulated / planned</x:v>
      </x:c>
    </x:row>
    <x:row r="73" ht="19" customHeight="1">
      <x:c r="A73" s="14" t="str">
        <x:v>WO-0068</x:v>
      </x:c>
      <x:c r="B73" s="14" t="str">
        <x:v>MX45</x:v>
      </x:c>
      <x:c r="C73" s="14" t="n">
        <x:v>5</x:v>
      </x:c>
      <x:c r="D73" s="14" t="str">
        <x:v>2026-12-07</x:v>
      </x:c>
      <x:c r="E73" s="14" t="str">
        <x:v>2026-12-10</x:v>
      </x:c>
      <x:c r="F73" s="16" t="n">
        <x:v>25.8</x:v>
      </x:c>
      <x:c r="G73" s="14" t="str">
        <x:v>Simulated / planned</x:v>
      </x:c>
    </x:row>
    <x:row r="74" ht="19" customHeight="1">
      <x:c r="A74" s="14" t="str">
        <x:v>WO-0069</x:v>
      </x:c>
      <x:c r="B74" s="14" t="str">
        <x:v>MX45</x:v>
      </x:c>
      <x:c r="C74" s="14" t="n">
        <x:v>5</x:v>
      </x:c>
      <x:c r="D74" s="14" t="str">
        <x:v>2026-12-07</x:v>
      </x:c>
      <x:c r="E74" s="14" t="str">
        <x:v>2026-12-11</x:v>
      </x:c>
      <x:c r="F74" s="16" t="n">
        <x:v>22.9</x:v>
      </x:c>
      <x:c r="G74" s="14" t="str">
        <x:v>Simulated / planned</x:v>
      </x:c>
    </x:row>
    <x:row r="75" ht="19" customHeight="1">
      <x:c r="A75" s="14" t="str">
        <x:v>WO-0070</x:v>
      </x:c>
      <x:c r="B75" s="14" t="str">
        <x:v>MX55</x:v>
      </x:c>
      <x:c r="C75" s="14" t="n">
        <x:v>5</x:v>
      </x:c>
      <x:c r="D75" s="14" t="str">
        <x:v>2026-12-07</x:v>
      </x:c>
      <x:c r="E75" s="14" t="str">
        <x:v>2026-12-11</x:v>
      </x:c>
      <x:c r="F75" s="16" t="n">
        <x:v>18.5</x:v>
      </x:c>
      <x:c r="G75" s="14" t="str">
        <x:v>Simulated / planned</x:v>
      </x:c>
    </x:row>
    <x:row r="76" ht="19" customHeight="1">
      <x:c r="A76" s="14" t="str">
        <x:v>WO-0071</x:v>
      </x:c>
      <x:c r="B76" s="14" t="str">
        <x:v>MX55</x:v>
      </x:c>
      <x:c r="C76" s="14" t="n">
        <x:v>5</x:v>
      </x:c>
      <x:c r="D76" s="14" t="str">
        <x:v>2026-12-07</x:v>
      </x:c>
      <x:c r="E76" s="14" t="str">
        <x:v>2026-12-10</x:v>
      </x:c>
      <x:c r="F76" s="16" t="n">
        <x:v>27.6</x:v>
      </x:c>
      <x:c r="G76" s="14" t="str">
        <x:v>Simulated / planned</x:v>
      </x:c>
    </x:row>
    <x:row r="77" ht="19" customHeight="1">
      <x:c r="A77" s="14" t="str">
        <x:v>WO-0072</x:v>
      </x:c>
      <x:c r="B77" s="14" t="str">
        <x:v>MX55</x:v>
      </x:c>
      <x:c r="C77" s="14" t="n">
        <x:v>5</x:v>
      </x:c>
      <x:c r="D77" s="14" t="str">
        <x:v>2026-12-07</x:v>
      </x:c>
      <x:c r="E77" s="14" t="str">
        <x:v>2026-12-10</x:v>
      </x:c>
      <x:c r="F77" s="16" t="n">
        <x:v>21</x:v>
      </x:c>
      <x:c r="G77" s="14" t="str">
        <x:v>Simulated / planned</x:v>
      </x:c>
    </x:row>
    <x:row r="78" ht="19" customHeight="1">
      <x:c r="A78" s="14" t="str">
        <x:v>WO-0073</x:v>
      </x:c>
      <x:c r="B78" s="14" t="str">
        <x:v>MX25</x:v>
      </x:c>
      <x:c r="C78" s="14" t="n">
        <x:v>6</x:v>
      </x:c>
      <x:c r="D78" s="14" t="str">
        <x:v>2026-12-14</x:v>
      </x:c>
      <x:c r="E78" s="14" t="str">
        <x:v>2026-12-16</x:v>
      </x:c>
      <x:c r="F78" s="16" t="n">
        <x:v>13.7</x:v>
      </x:c>
      <x:c r="G78" s="14" t="str">
        <x:v>Simulated / planned</x:v>
      </x:c>
    </x:row>
    <x:row r="79" ht="19" customHeight="1">
      <x:c r="A79" s="14" t="str">
        <x:v>WO-0074</x:v>
      </x:c>
      <x:c r="B79" s="14" t="str">
        <x:v>MX25</x:v>
      </x:c>
      <x:c r="C79" s="14" t="n">
        <x:v>6</x:v>
      </x:c>
      <x:c r="D79" s="14" t="str">
        <x:v>2026-12-14</x:v>
      </x:c>
      <x:c r="E79" s="14" t="str">
        <x:v>2026-12-18</x:v>
      </x:c>
      <x:c r="F79" s="16" t="n">
        <x:v>21</x:v>
      </x:c>
      <x:c r="G79" s="14" t="str">
        <x:v>Simulated / planned</x:v>
      </x:c>
    </x:row>
    <x:row r="80" ht="19" customHeight="1">
      <x:c r="A80" s="14" t="str">
        <x:v>WO-0075</x:v>
      </x:c>
      <x:c r="B80" s="14" t="str">
        <x:v>MX25</x:v>
      </x:c>
      <x:c r="C80" s="14" t="n">
        <x:v>6</x:v>
      </x:c>
      <x:c r="D80" s="14" t="str">
        <x:v>2026-12-14</x:v>
      </x:c>
      <x:c r="E80" s="14" t="str">
        <x:v>2026-12-15</x:v>
      </x:c>
      <x:c r="F80" s="16" t="n">
        <x:v>15.6</x:v>
      </x:c>
      <x:c r="G80" s="14" t="str">
        <x:v>Simulated / planned</x:v>
      </x:c>
    </x:row>
    <x:row r="81" ht="19" customHeight="1">
      <x:c r="A81" s="14" t="str">
        <x:v>WO-0076</x:v>
      </x:c>
      <x:c r="B81" s="14" t="str">
        <x:v>MX35</x:v>
      </x:c>
      <x:c r="C81" s="14" t="n">
        <x:v>6</x:v>
      </x:c>
      <x:c r="D81" s="14" t="str">
        <x:v>2026-12-14</x:v>
      </x:c>
      <x:c r="E81" s="14" t="str">
        <x:v>2026-12-15</x:v>
      </x:c>
      <x:c r="F81" s="16" t="n">
        <x:v>21.7</x:v>
      </x:c>
      <x:c r="G81" s="14" t="str">
        <x:v>Simulated / planned</x:v>
      </x:c>
    </x:row>
    <x:row r="82" ht="19" customHeight="1">
      <x:c r="A82" s="14" t="str">
        <x:v>WO-0077</x:v>
      </x:c>
      <x:c r="B82" s="14" t="str">
        <x:v>MX35</x:v>
      </x:c>
      <x:c r="C82" s="14" t="n">
        <x:v>6</x:v>
      </x:c>
      <x:c r="D82" s="14" t="str">
        <x:v>2026-12-14</x:v>
      </x:c>
      <x:c r="E82" s="14" t="str">
        <x:v>2026-12-16</x:v>
      </x:c>
      <x:c r="F82" s="16" t="n">
        <x:v>20.2</x:v>
      </x:c>
      <x:c r="G82" s="14" t="str">
        <x:v>Simulated / planned</x:v>
      </x:c>
    </x:row>
    <x:row r="83" ht="19" customHeight="1">
      <x:c r="A83" s="14" t="str">
        <x:v>WO-0078</x:v>
      </x:c>
      <x:c r="B83" s="14" t="str">
        <x:v>MX35</x:v>
      </x:c>
      <x:c r="C83" s="14" t="n">
        <x:v>6</x:v>
      </x:c>
      <x:c r="D83" s="14" t="str">
        <x:v>2026-12-14</x:v>
      </x:c>
      <x:c r="E83" s="14" t="str">
        <x:v>2026-12-14</x:v>
      </x:c>
      <x:c r="F83" s="16" t="n">
        <x:v>26.4</x:v>
      </x:c>
      <x:c r="G83" s="14" t="str">
        <x:v>Simulated / planned</x:v>
      </x:c>
    </x:row>
    <x:row r="84" ht="19" customHeight="1">
      <x:c r="A84" s="14" t="str">
        <x:v>WO-0079</x:v>
      </x:c>
      <x:c r="B84" s="14" t="str">
        <x:v>MX45</x:v>
      </x:c>
      <x:c r="C84" s="14" t="n">
        <x:v>6</x:v>
      </x:c>
      <x:c r="D84" s="14" t="str">
        <x:v>2026-12-14</x:v>
      </x:c>
      <x:c r="E84" s="14" t="str">
        <x:v>2026-12-15</x:v>
      </x:c>
      <x:c r="F84" s="16" t="n">
        <x:v>19.2</x:v>
      </x:c>
      <x:c r="G84" s="14" t="str">
        <x:v>Simulated / planned</x:v>
      </x:c>
    </x:row>
    <x:row r="85" ht="19" customHeight="1">
      <x:c r="A85" s="14" t="str">
        <x:v>WO-0080</x:v>
      </x:c>
      <x:c r="B85" s="14" t="str">
        <x:v>MX45</x:v>
      </x:c>
      <x:c r="C85" s="14" t="n">
        <x:v>6</x:v>
      </x:c>
      <x:c r="D85" s="14" t="str">
        <x:v>2026-12-14</x:v>
      </x:c>
      <x:c r="E85" s="14" t="str">
        <x:v>2026-12-17</x:v>
      </x:c>
      <x:c r="F85" s="16" t="n">
        <x:v>25.4</x:v>
      </x:c>
      <x:c r="G85" s="14" t="str">
        <x:v>Simulated / planned</x:v>
      </x:c>
    </x:row>
    <x:row r="86" ht="19" customHeight="1">
      <x:c r="A86" s="14" t="str">
        <x:v>WO-0081</x:v>
      </x:c>
      <x:c r="B86" s="14" t="str">
        <x:v>MX45</x:v>
      </x:c>
      <x:c r="C86" s="14" t="n">
        <x:v>6</x:v>
      </x:c>
      <x:c r="D86" s="14" t="str">
        <x:v>2026-12-14</x:v>
      </x:c>
      <x:c r="E86" s="14" t="str">
        <x:v>2026-12-15</x:v>
      </x:c>
      <x:c r="F86" s="16" t="n">
        <x:v>27.2</x:v>
      </x:c>
      <x:c r="G86" s="14" t="str">
        <x:v>Simulated / planned</x:v>
      </x:c>
    </x:row>
    <x:row r="87" ht="19" customHeight="1">
      <x:c r="A87" s="14" t="str">
        <x:v>WO-0082</x:v>
      </x:c>
      <x:c r="B87" s="14" t="str">
        <x:v>MX55</x:v>
      </x:c>
      <x:c r="C87" s="14" t="n">
        <x:v>6</x:v>
      </x:c>
      <x:c r="D87" s="14" t="str">
        <x:v>2026-12-14</x:v>
      </x:c>
      <x:c r="E87" s="14" t="str">
        <x:v>2026-12-15</x:v>
      </x:c>
      <x:c r="F87" s="16" t="n">
        <x:v>18.5</x:v>
      </x:c>
      <x:c r="G87" s="14" t="str">
        <x:v>Simulated / planned</x:v>
      </x:c>
    </x:row>
    <x:row r="88" ht="19" customHeight="1">
      <x:c r="A88" s="14" t="str">
        <x:v>WO-0083</x:v>
      </x:c>
      <x:c r="B88" s="14" t="str">
        <x:v>MX55</x:v>
      </x:c>
      <x:c r="C88" s="14" t="n">
        <x:v>6</x:v>
      </x:c>
      <x:c r="D88" s="14" t="str">
        <x:v>2026-12-14</x:v>
      </x:c>
      <x:c r="E88" s="14" t="str">
        <x:v>2026-12-18</x:v>
      </x:c>
      <x:c r="F88" s="16" t="n">
        <x:v>18.6</x:v>
      </x:c>
      <x:c r="G88" s="14" t="str">
        <x:v>Simulated / planned</x:v>
      </x:c>
    </x:row>
    <x:row r="89" ht="19" customHeight="1">
      <x:c r="A89" s="14" t="str">
        <x:v>WO-0084</x:v>
      </x:c>
      <x:c r="B89" s="14" t="str">
        <x:v>MX55</x:v>
      </x:c>
      <x:c r="C89" s="14" t="n">
        <x:v>6</x:v>
      </x:c>
      <x:c r="D89" s="14" t="str">
        <x:v>2026-12-14</x:v>
      </x:c>
      <x:c r="E89" s="14" t="str">
        <x:v>2026-12-17</x:v>
      </x:c>
      <x:c r="F89" s="16" t="n">
        <x:v>16.2</x:v>
      </x:c>
      <x:c r="G89" s="14" t="str">
        <x:v>Simulated / planned</x:v>
      </x:c>
    </x:row>
    <x:row r="90" ht="19" customHeight="1">
      <x:c r="A90" s="14" t="str">
        <x:v>WO-0085</x:v>
      </x:c>
      <x:c r="B90" s="14" t="str">
        <x:v>MX25</x:v>
      </x:c>
      <x:c r="C90" s="14" t="n">
        <x:v>7</x:v>
      </x:c>
      <x:c r="D90" s="14" t="str">
        <x:v>2026-12-21</x:v>
      </x:c>
      <x:c r="E90" s="14" t="str">
        <x:v>2026-12-24</x:v>
      </x:c>
      <x:c r="F90" s="16" t="n">
        <x:v>22.4</x:v>
      </x:c>
      <x:c r="G90" s="14" t="str">
        <x:v>Simulated / planned</x:v>
      </x:c>
    </x:row>
    <x:row r="91" ht="19" customHeight="1">
      <x:c r="A91" s="14" t="str">
        <x:v>WO-0086</x:v>
      </x:c>
      <x:c r="B91" s="14" t="str">
        <x:v>MX25</x:v>
      </x:c>
      <x:c r="C91" s="14" t="n">
        <x:v>7</x:v>
      </x:c>
      <x:c r="D91" s="14" t="str">
        <x:v>2026-12-21</x:v>
      </x:c>
      <x:c r="E91" s="14" t="str">
        <x:v>2026-12-21</x:v>
      </x:c>
      <x:c r="F91" s="16" t="n">
        <x:v>21.7</x:v>
      </x:c>
      <x:c r="G91" s="14" t="str">
        <x:v>Simulated / planned</x:v>
      </x:c>
    </x:row>
    <x:row r="92" ht="19" customHeight="1">
      <x:c r="A92" s="14" t="str">
        <x:v>WO-0087</x:v>
      </x:c>
      <x:c r="B92" s="14" t="str">
        <x:v>MX25</x:v>
      </x:c>
      <x:c r="C92" s="14" t="n">
        <x:v>7</x:v>
      </x:c>
      <x:c r="D92" s="14" t="str">
        <x:v>2026-12-21</x:v>
      </x:c>
      <x:c r="E92" s="14" t="str">
        <x:v>2026-12-21</x:v>
      </x:c>
      <x:c r="F92" s="16" t="n">
        <x:v>21.8</x:v>
      </x:c>
      <x:c r="G92" s="14" t="str">
        <x:v>Simulated / planned</x:v>
      </x:c>
    </x:row>
    <x:row r="93" ht="19" customHeight="1">
      <x:c r="A93" s="14" t="str">
        <x:v>WO-0088</x:v>
      </x:c>
      <x:c r="B93" s="14" t="str">
        <x:v>MX35</x:v>
      </x:c>
      <x:c r="C93" s="14" t="n">
        <x:v>7</x:v>
      </x:c>
      <x:c r="D93" s="14" t="str">
        <x:v>2026-12-21</x:v>
      </x:c>
      <x:c r="E93" s="14" t="str">
        <x:v>2026-12-24</x:v>
      </x:c>
      <x:c r="F93" s="16" t="n">
        <x:v>26.1</x:v>
      </x:c>
      <x:c r="G93" s="14" t="str">
        <x:v>Simulated / planned</x:v>
      </x:c>
    </x:row>
    <x:row r="94" ht="19" customHeight="1">
      <x:c r="A94" s="14" t="str">
        <x:v>WO-0089</x:v>
      </x:c>
      <x:c r="B94" s="14" t="str">
        <x:v>MX35</x:v>
      </x:c>
      <x:c r="C94" s="14" t="n">
        <x:v>7</x:v>
      </x:c>
      <x:c r="D94" s="14" t="str">
        <x:v>2026-12-21</x:v>
      </x:c>
      <x:c r="E94" s="14" t="str">
        <x:v>2026-12-24</x:v>
      </x:c>
      <x:c r="F94" s="16" t="n">
        <x:v>25.6</x:v>
      </x:c>
      <x:c r="G94" s="14" t="str">
        <x:v>Simulated / planned</x:v>
      </x:c>
    </x:row>
    <x:row r="95" ht="19" customHeight="1">
      <x:c r="A95" s="14" t="str">
        <x:v>WO-0090</x:v>
      </x:c>
      <x:c r="B95" s="14" t="str">
        <x:v>MX35</x:v>
      </x:c>
      <x:c r="C95" s="14" t="n">
        <x:v>7</x:v>
      </x:c>
      <x:c r="D95" s="14" t="str">
        <x:v>2026-12-21</x:v>
      </x:c>
      <x:c r="E95" s="14" t="str">
        <x:v>2026-12-21</x:v>
      </x:c>
      <x:c r="F95" s="16" t="n">
        <x:v>21.1</x:v>
      </x:c>
      <x:c r="G95" s="14" t="str">
        <x:v>Simulated / planned</x:v>
      </x:c>
    </x:row>
    <x:row r="96" ht="19" customHeight="1">
      <x:c r="A96" s="14" t="str">
        <x:v>WO-0091</x:v>
      </x:c>
      <x:c r="B96" s="14" t="str">
        <x:v>MX45</x:v>
      </x:c>
      <x:c r="C96" s="14" t="n">
        <x:v>7</x:v>
      </x:c>
      <x:c r="D96" s="14" t="str">
        <x:v>2026-12-21</x:v>
      </x:c>
      <x:c r="E96" s="14" t="str">
        <x:v>2026-12-23</x:v>
      </x:c>
      <x:c r="F96" s="16" t="n">
        <x:v>14.9</x:v>
      </x:c>
      <x:c r="G96" s="14" t="str">
        <x:v>Simulated / planned</x:v>
      </x:c>
    </x:row>
    <x:row r="97" ht="19" customHeight="1">
      <x:c r="A97" s="14" t="str">
        <x:v>WO-0092</x:v>
      </x:c>
      <x:c r="B97" s="14" t="str">
        <x:v>MX45</x:v>
      </x:c>
      <x:c r="C97" s="14" t="n">
        <x:v>7</x:v>
      </x:c>
      <x:c r="D97" s="14" t="str">
        <x:v>2026-12-21</x:v>
      </x:c>
      <x:c r="E97" s="14" t="str">
        <x:v>2026-12-24</x:v>
      </x:c>
      <x:c r="F97" s="16" t="n">
        <x:v>17.7</x:v>
      </x:c>
      <x:c r="G97" s="14" t="str">
        <x:v>Simulated / planned</x:v>
      </x:c>
    </x:row>
    <x:row r="98" ht="19" customHeight="1">
      <x:c r="A98" s="14" t="str">
        <x:v>WO-0093</x:v>
      </x:c>
      <x:c r="B98" s="14" t="str">
        <x:v>MX45</x:v>
      </x:c>
      <x:c r="C98" s="14" t="n">
        <x:v>7</x:v>
      </x:c>
      <x:c r="D98" s="14" t="str">
        <x:v>2026-12-21</x:v>
      </x:c>
      <x:c r="E98" s="14" t="str">
        <x:v>2026-12-21</x:v>
      </x:c>
      <x:c r="F98" s="16" t="n">
        <x:v>13.3</x:v>
      </x:c>
      <x:c r="G98" s="14" t="str">
        <x:v>Simulated / planned</x:v>
      </x:c>
    </x:row>
    <x:row r="99" ht="19" customHeight="1">
      <x:c r="A99" s="14" t="str">
        <x:v>WO-0094</x:v>
      </x:c>
      <x:c r="B99" s="14" t="str">
        <x:v>MX55</x:v>
      </x:c>
      <x:c r="C99" s="14" t="n">
        <x:v>7</x:v>
      </x:c>
      <x:c r="D99" s="14" t="str">
        <x:v>2026-12-21</x:v>
      </x:c>
      <x:c r="E99" s="14" t="str">
        <x:v>2026-12-25</x:v>
      </x:c>
      <x:c r="F99" s="16" t="n">
        <x:v>16.3</x:v>
      </x:c>
      <x:c r="G99" s="14" t="str">
        <x:v>Simulated / planned</x:v>
      </x:c>
    </x:row>
    <x:row r="100" ht="19" customHeight="1">
      <x:c r="A100" s="14" t="str">
        <x:v>WO-0095</x:v>
      </x:c>
      <x:c r="B100" s="14" t="str">
        <x:v>MX55</x:v>
      </x:c>
      <x:c r="C100" s="14" t="n">
        <x:v>7</x:v>
      </x:c>
      <x:c r="D100" s="14" t="str">
        <x:v>2026-12-21</x:v>
      </x:c>
      <x:c r="E100" s="14" t="str">
        <x:v>2026-12-22</x:v>
      </x:c>
      <x:c r="F100" s="16" t="n">
        <x:v>24.1</x:v>
      </x:c>
      <x:c r="G100" s="14" t="str">
        <x:v>Simulated / planned</x:v>
      </x:c>
    </x:row>
    <x:row r="101" ht="19" customHeight="1">
      <x:c r="A101" s="14" t="str">
        <x:v>WO-0096</x:v>
      </x:c>
      <x:c r="B101" s="14" t="str">
        <x:v>MX55</x:v>
      </x:c>
      <x:c r="C101" s="14" t="n">
        <x:v>7</x:v>
      </x:c>
      <x:c r="D101" s="14" t="str">
        <x:v>2026-12-21</x:v>
      </x:c>
      <x:c r="E101" s="14" t="str">
        <x:v>2026-12-25</x:v>
      </x:c>
      <x:c r="F101" s="16" t="n">
        <x:v>20.1</x:v>
      </x:c>
      <x:c r="G101" s="14" t="str">
        <x:v>Simulated / planned</x:v>
      </x:c>
    </x:row>
    <x:row r="102" ht="19" customHeight="1">
      <x:c r="A102" s="14" t="str">
        <x:v>WO-0097</x:v>
      </x:c>
      <x:c r="B102" s="14" t="str">
        <x:v>MX25</x:v>
      </x:c>
      <x:c r="C102" s="14" t="n">
        <x:v>8</x:v>
      </x:c>
      <x:c r="D102" s="14" t="str">
        <x:v>2026-12-28</x:v>
      </x:c>
      <x:c r="E102" s="14" t="str">
        <x:v>2026-12-31</x:v>
      </x:c>
      <x:c r="F102" s="16" t="n">
        <x:v>18.4</x:v>
      </x:c>
      <x:c r="G102" s="14" t="str">
        <x:v>Simulated / planned</x:v>
      </x:c>
    </x:row>
    <x:row r="103" ht="19" customHeight="1">
      <x:c r="A103" s="14" t="str">
        <x:v>WO-0098</x:v>
      </x:c>
      <x:c r="B103" s="14" t="str">
        <x:v>MX25</x:v>
      </x:c>
      <x:c r="C103" s="14" t="n">
        <x:v>8</x:v>
      </x:c>
      <x:c r="D103" s="14" t="str">
        <x:v>2026-12-28</x:v>
      </x:c>
      <x:c r="E103" s="14" t="str">
        <x:v>2026-12-28</x:v>
      </x:c>
      <x:c r="F103" s="16" t="n">
        <x:v>12.8</x:v>
      </x:c>
      <x:c r="G103" s="14" t="str">
        <x:v>Simulated / planned</x:v>
      </x:c>
    </x:row>
    <x:row r="104" ht="19" customHeight="1">
      <x:c r="A104" s="14" t="str">
        <x:v>WO-0099</x:v>
      </x:c>
      <x:c r="B104" s="14" t="str">
        <x:v>MX25</x:v>
      </x:c>
      <x:c r="C104" s="14" t="n">
        <x:v>8</x:v>
      </x:c>
      <x:c r="D104" s="14" t="str">
        <x:v>2026-12-28</x:v>
      </x:c>
      <x:c r="E104" s="14" t="str">
        <x:v>2026-12-30</x:v>
      </x:c>
      <x:c r="F104" s="16" t="n">
        <x:v>16.1</x:v>
      </x:c>
      <x:c r="G104" s="14" t="str">
        <x:v>Simulated / planned</x:v>
      </x:c>
    </x:row>
    <x:row r="105" ht="19" customHeight="1">
      <x:c r="A105" s="14" t="str">
        <x:v>WO-0100</x:v>
      </x:c>
      <x:c r="B105" s="14" t="str">
        <x:v>MX35</x:v>
      </x:c>
      <x:c r="C105" s="14" t="n">
        <x:v>8</x:v>
      </x:c>
      <x:c r="D105" s="14" t="str">
        <x:v>2026-12-28</x:v>
      </x:c>
      <x:c r="E105" s="14" t="str">
        <x:v>2026-12-29</x:v>
      </x:c>
      <x:c r="F105" s="16" t="n">
        <x:v>15.3</x:v>
      </x:c>
      <x:c r="G105" s="14" t="str">
        <x:v>Simulated / planned</x:v>
      </x:c>
    </x:row>
    <x:row r="106" ht="19" customHeight="1">
      <x:c r="A106" s="14" t="str">
        <x:v>WO-0101</x:v>
      </x:c>
      <x:c r="B106" s="14" t="str">
        <x:v>MX35</x:v>
      </x:c>
      <x:c r="C106" s="14" t="n">
        <x:v>8</x:v>
      </x:c>
      <x:c r="D106" s="14" t="str">
        <x:v>2026-12-28</x:v>
      </x:c>
      <x:c r="E106" s="14" t="str">
        <x:v>2027-01-01</x:v>
      </x:c>
      <x:c r="F106" s="16" t="n">
        <x:v>17.6</x:v>
      </x:c>
      <x:c r="G106" s="14" t="str">
        <x:v>Simulated / planned</x:v>
      </x:c>
    </x:row>
    <x:row r="107" ht="19" customHeight="1">
      <x:c r="A107" s="14" t="str">
        <x:v>WO-0102</x:v>
      </x:c>
      <x:c r="B107" s="14" t="str">
        <x:v>MX35</x:v>
      </x:c>
      <x:c r="C107" s="14" t="n">
        <x:v>8</x:v>
      </x:c>
      <x:c r="D107" s="14" t="str">
        <x:v>2026-12-28</x:v>
      </x:c>
      <x:c r="E107" s="14" t="str">
        <x:v>2026-12-28</x:v>
      </x:c>
      <x:c r="F107" s="16" t="n">
        <x:v>23.8</x:v>
      </x:c>
      <x:c r="G107" s="14" t="str">
        <x:v>Simulated / planned</x:v>
      </x:c>
    </x:row>
    <x:row r="108" ht="19" customHeight="1">
      <x:c r="A108" s="14" t="str">
        <x:v>WO-0103</x:v>
      </x:c>
      <x:c r="B108" s="14" t="str">
        <x:v>MX45</x:v>
      </x:c>
      <x:c r="C108" s="14" t="n">
        <x:v>8</x:v>
      </x:c>
      <x:c r="D108" s="14" t="str">
        <x:v>2026-12-28</x:v>
      </x:c>
      <x:c r="E108" s="14" t="str">
        <x:v>2026-12-28</x:v>
      </x:c>
      <x:c r="F108" s="16" t="n">
        <x:v>22.4</x:v>
      </x:c>
      <x:c r="G108" s="14" t="str">
        <x:v>Simulated / planned</x:v>
      </x:c>
    </x:row>
    <x:row r="109" ht="19" customHeight="1">
      <x:c r="A109" s="14" t="str">
        <x:v>WO-0104</x:v>
      </x:c>
      <x:c r="B109" s="14" t="str">
        <x:v>MX45</x:v>
      </x:c>
      <x:c r="C109" s="14" t="n">
        <x:v>8</x:v>
      </x:c>
      <x:c r="D109" s="14" t="str">
        <x:v>2026-12-28</x:v>
      </x:c>
      <x:c r="E109" s="14" t="str">
        <x:v>2026-12-30</x:v>
      </x:c>
      <x:c r="F109" s="16" t="n">
        <x:v>24.9</x:v>
      </x:c>
      <x:c r="G109" s="14" t="str">
        <x:v>Simulated / planned</x:v>
      </x:c>
    </x:row>
    <x:row r="110" ht="19" customHeight="1">
      <x:c r="A110" s="14" t="str">
        <x:v>WO-0105</x:v>
      </x:c>
      <x:c r="B110" s="14" t="str">
        <x:v>MX45</x:v>
      </x:c>
      <x:c r="C110" s="14" t="n">
        <x:v>8</x:v>
      </x:c>
      <x:c r="D110" s="14" t="str">
        <x:v>2026-12-28</x:v>
      </x:c>
      <x:c r="E110" s="14" t="str">
        <x:v>2026-12-28</x:v>
      </x:c>
      <x:c r="F110" s="16" t="n">
        <x:v>17.7</x:v>
      </x:c>
      <x:c r="G110" s="14" t="str">
        <x:v>Simulated / planned</x:v>
      </x:c>
    </x:row>
    <x:row r="111" ht="19" customHeight="1">
      <x:c r="A111" s="14" t="str">
        <x:v>WO-0106</x:v>
      </x:c>
      <x:c r="B111" s="14" t="str">
        <x:v>MX55</x:v>
      </x:c>
      <x:c r="C111" s="14" t="n">
        <x:v>8</x:v>
      </x:c>
      <x:c r="D111" s="14" t="str">
        <x:v>2026-12-28</x:v>
      </x:c>
      <x:c r="E111" s="14" t="str">
        <x:v>2026-12-29</x:v>
      </x:c>
      <x:c r="F111" s="16" t="n">
        <x:v>21.6</x:v>
      </x:c>
      <x:c r="G111" s="14" t="str">
        <x:v>Simulated / planned</x:v>
      </x:c>
    </x:row>
    <x:row r="112" ht="19" customHeight="1">
      <x:c r="A112" s="14" t="str">
        <x:v>WO-0107</x:v>
      </x:c>
      <x:c r="B112" s="14" t="str">
        <x:v>MX55</x:v>
      </x:c>
      <x:c r="C112" s="14" t="n">
        <x:v>8</x:v>
      </x:c>
      <x:c r="D112" s="14" t="str">
        <x:v>2026-12-28</x:v>
      </x:c>
      <x:c r="E112" s="14" t="str">
        <x:v>2026-12-28</x:v>
      </x:c>
      <x:c r="F112" s="16" t="n">
        <x:v>13.6</x:v>
      </x:c>
      <x:c r="G112" s="14" t="str">
        <x:v>Simulated / planned</x:v>
      </x:c>
    </x:row>
    <x:row r="113" ht="19" customHeight="1">
      <x:c r="A113" s="14" t="str">
        <x:v>WO-0108</x:v>
      </x:c>
      <x:c r="B113" s="14" t="str">
        <x:v>MX55</x:v>
      </x:c>
      <x:c r="C113" s="14" t="n">
        <x:v>8</x:v>
      </x:c>
      <x:c r="D113" s="14" t="str">
        <x:v>2026-12-28</x:v>
      </x:c>
      <x:c r="E113" s="14" t="str">
        <x:v>2027-01-01</x:v>
      </x:c>
      <x:c r="F113" s="16" t="n">
        <x:v>19.2</x:v>
      </x:c>
      <x:c r="G113" s="14" t="str">
        <x:v>Simulated / planned</x:v>
      </x:c>
    </x:row>
    <x:row r="114" ht="19" customHeight="1">
      <x:c r="A114" s="14" t="str">
        <x:v>WO-0109</x:v>
      </x:c>
      <x:c r="B114" s="14" t="str">
        <x:v>MX25</x:v>
      </x:c>
      <x:c r="C114" s="14" t="n">
        <x:v>9</x:v>
      </x:c>
      <x:c r="D114" s="14" t="str">
        <x:v>2027-01-04</x:v>
      </x:c>
      <x:c r="E114" s="14" t="str">
        <x:v>2027-01-05</x:v>
      </x:c>
      <x:c r="F114" s="16" t="n">
        <x:v>15.7</x:v>
      </x:c>
      <x:c r="G114" s="14" t="str">
        <x:v>Simulated / planned</x:v>
      </x:c>
    </x:row>
    <x:row r="115" ht="19" customHeight="1">
      <x:c r="A115" s="14" t="str">
        <x:v>WO-0110</x:v>
      </x:c>
      <x:c r="B115" s="14" t="str">
        <x:v>MX25</x:v>
      </x:c>
      <x:c r="C115" s="14" t="n">
        <x:v>9</x:v>
      </x:c>
      <x:c r="D115" s="14" t="str">
        <x:v>2027-01-04</x:v>
      </x:c>
      <x:c r="E115" s="14" t="str">
        <x:v>2027-01-06</x:v>
      </x:c>
      <x:c r="F115" s="16" t="n">
        <x:v>17.7</x:v>
      </x:c>
      <x:c r="G115" s="14" t="str">
        <x:v>Simulated / planned</x:v>
      </x:c>
    </x:row>
    <x:row r="116" ht="19" customHeight="1">
      <x:c r="A116" s="14" t="str">
        <x:v>WO-0111</x:v>
      </x:c>
      <x:c r="B116" s="14" t="str">
        <x:v>MX25</x:v>
      </x:c>
      <x:c r="C116" s="14" t="n">
        <x:v>9</x:v>
      </x:c>
      <x:c r="D116" s="14" t="str">
        <x:v>2027-01-04</x:v>
      </x:c>
      <x:c r="E116" s="14" t="str">
        <x:v>2027-01-08</x:v>
      </x:c>
      <x:c r="F116" s="16" t="n">
        <x:v>19.7</x:v>
      </x:c>
      <x:c r="G116" s="14" t="str">
        <x:v>Simulated / planned</x:v>
      </x:c>
    </x:row>
    <x:row r="117" ht="19" customHeight="1">
      <x:c r="A117" s="14" t="str">
        <x:v>WO-0112</x:v>
      </x:c>
      <x:c r="B117" s="14" t="str">
        <x:v>MX35</x:v>
      </x:c>
      <x:c r="C117" s="14" t="n">
        <x:v>9</x:v>
      </x:c>
      <x:c r="D117" s="14" t="str">
        <x:v>2027-01-04</x:v>
      </x:c>
      <x:c r="E117" s="14" t="str">
        <x:v>2027-01-04</x:v>
      </x:c>
      <x:c r="F117" s="16" t="n">
        <x:v>18.9</x:v>
      </x:c>
      <x:c r="G117" s="14" t="str">
        <x:v>Simulated / planned</x:v>
      </x:c>
    </x:row>
    <x:row r="118" ht="19" customHeight="1">
      <x:c r="A118" s="14" t="str">
        <x:v>WO-0113</x:v>
      </x:c>
      <x:c r="B118" s="14" t="str">
        <x:v>MX35</x:v>
      </x:c>
      <x:c r="C118" s="14" t="n">
        <x:v>9</x:v>
      </x:c>
      <x:c r="D118" s="14" t="str">
        <x:v>2027-01-04</x:v>
      </x:c>
      <x:c r="E118" s="14" t="str">
        <x:v>2027-01-05</x:v>
      </x:c>
      <x:c r="F118" s="16" t="n">
        <x:v>14.4</x:v>
      </x:c>
      <x:c r="G118" s="14" t="str">
        <x:v>Simulated / planned</x:v>
      </x:c>
    </x:row>
    <x:row r="119" ht="19" customHeight="1">
      <x:c r="A119" s="14" t="str">
        <x:v>WO-0114</x:v>
      </x:c>
      <x:c r="B119" s="14" t="str">
        <x:v>MX35</x:v>
      </x:c>
      <x:c r="C119" s="14" t="n">
        <x:v>9</x:v>
      </x:c>
      <x:c r="D119" s="14" t="str">
        <x:v>2027-01-04</x:v>
      </x:c>
      <x:c r="E119" s="14" t="str">
        <x:v>2027-01-08</x:v>
      </x:c>
      <x:c r="F119" s="16" t="n">
        <x:v>23.4</x:v>
      </x:c>
      <x:c r="G119" s="14" t="str">
        <x:v>Simulated / planned</x:v>
      </x:c>
    </x:row>
    <x:row r="120" ht="19" customHeight="1">
      <x:c r="A120" s="14" t="str">
        <x:v>WO-0115</x:v>
      </x:c>
      <x:c r="B120" s="14" t="str">
        <x:v>MX45</x:v>
      </x:c>
      <x:c r="C120" s="14" t="n">
        <x:v>9</x:v>
      </x:c>
      <x:c r="D120" s="14" t="str">
        <x:v>2027-01-04</x:v>
      </x:c>
      <x:c r="E120" s="14" t="str">
        <x:v>2027-01-07</x:v>
      </x:c>
      <x:c r="F120" s="16" t="n">
        <x:v>19.5</x:v>
      </x:c>
      <x:c r="G120" s="14" t="str">
        <x:v>Simulated / planned</x:v>
      </x:c>
    </x:row>
    <x:row r="121" ht="19" customHeight="1">
      <x:c r="A121" s="14" t="str">
        <x:v>WO-0116</x:v>
      </x:c>
      <x:c r="B121" s="14" t="str">
        <x:v>MX45</x:v>
      </x:c>
      <x:c r="C121" s="14" t="n">
        <x:v>9</x:v>
      </x:c>
      <x:c r="D121" s="14" t="str">
        <x:v>2027-01-04</x:v>
      </x:c>
      <x:c r="E121" s="14" t="str">
        <x:v>2027-01-04</x:v>
      </x:c>
      <x:c r="F121" s="16" t="n">
        <x:v>19.6</x:v>
      </x:c>
      <x:c r="G121" s="14" t="str">
        <x:v>Simulated / planned</x:v>
      </x:c>
    </x:row>
    <x:row r="122" ht="19" customHeight="1">
      <x:c r="A122" s="14" t="str">
        <x:v>WO-0117</x:v>
      </x:c>
      <x:c r="B122" s="14" t="str">
        <x:v>MX45</x:v>
      </x:c>
      <x:c r="C122" s="14" t="n">
        <x:v>9</x:v>
      </x:c>
      <x:c r="D122" s="14" t="str">
        <x:v>2027-01-04</x:v>
      </x:c>
      <x:c r="E122" s="14" t="str">
        <x:v>2027-01-08</x:v>
      </x:c>
      <x:c r="F122" s="16" t="n">
        <x:v>23.1</x:v>
      </x:c>
      <x:c r="G122" s="14" t="str">
        <x:v>Simulated / planned</x:v>
      </x:c>
    </x:row>
    <x:row r="123" ht="19" customHeight="1">
      <x:c r="A123" s="14" t="str">
        <x:v>WO-0118</x:v>
      </x:c>
      <x:c r="B123" s="14" t="str">
        <x:v>MX55</x:v>
      </x:c>
      <x:c r="C123" s="14" t="n">
        <x:v>9</x:v>
      </x:c>
      <x:c r="D123" s="14" t="str">
        <x:v>2027-01-04</x:v>
      </x:c>
      <x:c r="E123" s="14" t="str">
        <x:v>2027-01-04</x:v>
      </x:c>
      <x:c r="F123" s="16" t="n">
        <x:v>18.5</x:v>
      </x:c>
      <x:c r="G123" s="14" t="str">
        <x:v>Simulated / planned</x:v>
      </x:c>
    </x:row>
    <x:row r="124" ht="19" customHeight="1">
      <x:c r="A124" s="14" t="str">
        <x:v>WO-0119</x:v>
      </x:c>
      <x:c r="B124" s="14" t="str">
        <x:v>MX55</x:v>
      </x:c>
      <x:c r="C124" s="14" t="n">
        <x:v>9</x:v>
      </x:c>
      <x:c r="D124" s="14" t="str">
        <x:v>2027-01-04</x:v>
      </x:c>
      <x:c r="E124" s="14" t="str">
        <x:v>2027-01-06</x:v>
      </x:c>
      <x:c r="F124" s="16" t="n">
        <x:v>18.6</x:v>
      </x:c>
      <x:c r="G124" s="14" t="str">
        <x:v>Simulated / planned</x:v>
      </x:c>
    </x:row>
    <x:row r="125" ht="19" customHeight="1">
      <x:c r="A125" s="14" t="str">
        <x:v>WO-0120</x:v>
      </x:c>
      <x:c r="B125" s="14" t="str">
        <x:v>MX55</x:v>
      </x:c>
      <x:c r="C125" s="14" t="n">
        <x:v>9</x:v>
      </x:c>
      <x:c r="D125" s="14" t="str">
        <x:v>2027-01-04</x:v>
      </x:c>
      <x:c r="E125" s="14" t="str">
        <x:v>2027-01-08</x:v>
      </x:c>
      <x:c r="F125" s="16" t="n">
        <x:v>13</x:v>
      </x:c>
      <x:c r="G125" s="14" t="str">
        <x:v>Simulated / planned</x:v>
      </x:c>
    </x:row>
    <x:row r="126" ht="19" customHeight="1">
      <x:c r="A126" s="14" t="str">
        <x:v>WO-0121</x:v>
      </x:c>
      <x:c r="B126" s="14" t="str">
        <x:v>MX25</x:v>
      </x:c>
      <x:c r="C126" s="14" t="n">
        <x:v>10</x:v>
      </x:c>
      <x:c r="D126" s="14" t="str">
        <x:v>2027-01-11</x:v>
      </x:c>
      <x:c r="E126" s="14" t="str">
        <x:v>2027-01-15</x:v>
      </x:c>
      <x:c r="F126" s="16" t="n">
        <x:v>20.4</x:v>
      </x:c>
      <x:c r="G126" s="14" t="str">
        <x:v>Simulated / planned</x:v>
      </x:c>
    </x:row>
    <x:row r="127" ht="19" customHeight="1">
      <x:c r="A127" s="14" t="str">
        <x:v>WO-0122</x:v>
      </x:c>
      <x:c r="B127" s="14" t="str">
        <x:v>MX25</x:v>
      </x:c>
      <x:c r="C127" s="14" t="n">
        <x:v>10</x:v>
      </x:c>
      <x:c r="D127" s="14" t="str">
        <x:v>2027-01-11</x:v>
      </x:c>
      <x:c r="E127" s="14" t="str">
        <x:v>2027-01-12</x:v>
      </x:c>
      <x:c r="F127" s="16" t="n">
        <x:v>13.3</x:v>
      </x:c>
      <x:c r="G127" s="14" t="str">
        <x:v>Simulated / planned</x:v>
      </x:c>
    </x:row>
    <x:row r="128" ht="19" customHeight="1">
      <x:c r="A128" s="14" t="str">
        <x:v>WO-0123</x:v>
      </x:c>
      <x:c r="B128" s="14" t="str">
        <x:v>MX25</x:v>
      </x:c>
      <x:c r="C128" s="14" t="n">
        <x:v>10</x:v>
      </x:c>
      <x:c r="D128" s="14" t="str">
        <x:v>2027-01-11</x:v>
      </x:c>
      <x:c r="E128" s="14" t="str">
        <x:v>2027-01-11</x:v>
      </x:c>
      <x:c r="F128" s="16" t="n">
        <x:v>23.8</x:v>
      </x:c>
      <x:c r="G128" s="14" t="str">
        <x:v>Simulated / planned</x:v>
      </x:c>
    </x:row>
    <x:row r="129" ht="19" customHeight="1">
      <x:c r="A129" s="14" t="str">
        <x:v>WO-0124</x:v>
      </x:c>
      <x:c r="B129" s="14" t="str">
        <x:v>MX35</x:v>
      </x:c>
      <x:c r="C129" s="14" t="n">
        <x:v>10</x:v>
      </x:c>
      <x:c r="D129" s="14" t="str">
        <x:v>2027-01-11</x:v>
      </x:c>
      <x:c r="E129" s="14" t="str">
        <x:v>2027-01-11</x:v>
      </x:c>
      <x:c r="F129" s="16" t="n">
        <x:v>23.5</x:v>
      </x:c>
      <x:c r="G129" s="14" t="str">
        <x:v>Simulated / planned</x:v>
      </x:c>
    </x:row>
    <x:row r="130" ht="19" customHeight="1">
      <x:c r="A130" s="14" t="str">
        <x:v>WO-0125</x:v>
      </x:c>
      <x:c r="B130" s="14" t="str">
        <x:v>MX35</x:v>
      </x:c>
      <x:c r="C130" s="14" t="n">
        <x:v>10</x:v>
      </x:c>
      <x:c r="D130" s="14" t="str">
        <x:v>2027-01-11</x:v>
      </x:c>
      <x:c r="E130" s="14" t="str">
        <x:v>2027-01-14</x:v>
      </x:c>
      <x:c r="F130" s="16" t="n">
        <x:v>24.1</x:v>
      </x:c>
      <x:c r="G130" s="14" t="str">
        <x:v>Simulated / planned</x:v>
      </x:c>
    </x:row>
    <x:row r="131" ht="19" customHeight="1">
      <x:c r="A131" s="14" t="str">
        <x:v>WO-0126</x:v>
      </x:c>
      <x:c r="B131" s="14" t="str">
        <x:v>MX35</x:v>
      </x:c>
      <x:c r="C131" s="14" t="n">
        <x:v>10</x:v>
      </x:c>
      <x:c r="D131" s="14" t="str">
        <x:v>2027-01-11</x:v>
      </x:c>
      <x:c r="E131" s="14" t="str">
        <x:v>2027-01-13</x:v>
      </x:c>
      <x:c r="F131" s="16" t="n">
        <x:v>14.8</x:v>
      </x:c>
      <x:c r="G131" s="14" t="str">
        <x:v>Simulated / planned</x:v>
      </x:c>
    </x:row>
    <x:row r="132" ht="19" customHeight="1">
      <x:c r="A132" s="14" t="str">
        <x:v>WO-0127</x:v>
      </x:c>
      <x:c r="B132" s="14" t="str">
        <x:v>MX45</x:v>
      </x:c>
      <x:c r="C132" s="14" t="n">
        <x:v>10</x:v>
      </x:c>
      <x:c r="D132" s="14" t="str">
        <x:v>2027-01-11</x:v>
      </x:c>
      <x:c r="E132" s="14" t="str">
        <x:v>2027-01-11</x:v>
      </x:c>
      <x:c r="F132" s="16" t="n">
        <x:v>21.2</x:v>
      </x:c>
      <x:c r="G132" s="14" t="str">
        <x:v>Simulated / planned</x:v>
      </x:c>
    </x:row>
    <x:row r="133" ht="19" customHeight="1">
      <x:c r="A133" s="14" t="str">
        <x:v>WO-0128</x:v>
      </x:c>
      <x:c r="B133" s="14" t="str">
        <x:v>MX45</x:v>
      </x:c>
      <x:c r="C133" s="14" t="n">
        <x:v>10</x:v>
      </x:c>
      <x:c r="D133" s="14" t="str">
        <x:v>2027-01-11</x:v>
      </x:c>
      <x:c r="E133" s="14" t="str">
        <x:v>2027-01-15</x:v>
      </x:c>
      <x:c r="F133" s="16" t="n">
        <x:v>17.9</x:v>
      </x:c>
      <x:c r="G133" s="14" t="str">
        <x:v>Simulated / planned</x:v>
      </x:c>
    </x:row>
    <x:row r="134" ht="19" customHeight="1">
      <x:c r="A134" s="14" t="str">
        <x:v>WO-0129</x:v>
      </x:c>
      <x:c r="B134" s="14" t="str">
        <x:v>MX45</x:v>
      </x:c>
      <x:c r="C134" s="14" t="n">
        <x:v>10</x:v>
      </x:c>
      <x:c r="D134" s="14" t="str">
        <x:v>2027-01-11</x:v>
      </x:c>
      <x:c r="E134" s="14" t="str">
        <x:v>2027-01-13</x:v>
      </x:c>
      <x:c r="F134" s="16" t="n">
        <x:v>22</x:v>
      </x:c>
      <x:c r="G134" s="14" t="str">
        <x:v>Simulated / planned</x:v>
      </x:c>
    </x:row>
    <x:row r="135" ht="19" customHeight="1">
      <x:c r="A135" s="14" t="str">
        <x:v>WO-0130</x:v>
      </x:c>
      <x:c r="B135" s="14" t="str">
        <x:v>MX55</x:v>
      </x:c>
      <x:c r="C135" s="14" t="n">
        <x:v>10</x:v>
      </x:c>
      <x:c r="D135" s="14" t="str">
        <x:v>2027-01-11</x:v>
      </x:c>
      <x:c r="E135" s="14" t="str">
        <x:v>2027-01-13</x:v>
      </x:c>
      <x:c r="F135" s="16" t="n">
        <x:v>25.6</x:v>
      </x:c>
      <x:c r="G135" s="14" t="str">
        <x:v>Simulated / planned</x:v>
      </x:c>
    </x:row>
    <x:row r="136" ht="19" customHeight="1">
      <x:c r="A136" s="14" t="str">
        <x:v>WO-0131</x:v>
      </x:c>
      <x:c r="B136" s="14" t="str">
        <x:v>MX55</x:v>
      </x:c>
      <x:c r="C136" s="14" t="n">
        <x:v>10</x:v>
      </x:c>
      <x:c r="D136" s="14" t="str">
        <x:v>2027-01-11</x:v>
      </x:c>
      <x:c r="E136" s="14" t="str">
        <x:v>2027-01-15</x:v>
      </x:c>
      <x:c r="F136" s="16" t="n">
        <x:v>13.5</x:v>
      </x:c>
      <x:c r="G136" s="14" t="str">
        <x:v>Simulated / planned</x:v>
      </x:c>
    </x:row>
    <x:row r="137" ht="19" customHeight="1">
      <x:c r="A137" s="14" t="str">
        <x:v>WO-0132</x:v>
      </x:c>
      <x:c r="B137" s="14" t="str">
        <x:v>MX55</x:v>
      </x:c>
      <x:c r="C137" s="14" t="n">
        <x:v>10</x:v>
      </x:c>
      <x:c r="D137" s="14" t="str">
        <x:v>2027-01-11</x:v>
      </x:c>
      <x:c r="E137" s="14" t="str">
        <x:v>2027-01-13</x:v>
      </x:c>
      <x:c r="F137" s="16" t="n">
        <x:v>21.2</x:v>
      </x:c>
      <x:c r="G137" s="14" t="str">
        <x:v>Simulated / planned</x:v>
      </x:c>
    </x:row>
    <x:row r="138" ht="19" customHeight="1">
      <x:c r="A138" s="14" t="str">
        <x:v>WO-0133</x:v>
      </x:c>
      <x:c r="B138" s="14" t="str">
        <x:v>MX25</x:v>
      </x:c>
      <x:c r="C138" s="14" t="n">
        <x:v>11</x:v>
      </x:c>
      <x:c r="D138" s="14" t="str">
        <x:v>2027-01-18</x:v>
      </x:c>
      <x:c r="E138" s="14" t="str">
        <x:v>2027-01-18</x:v>
      </x:c>
      <x:c r="F138" s="16" t="n">
        <x:v>20.8</x:v>
      </x:c>
      <x:c r="G138" s="14" t="str">
        <x:v>Simulated / planned</x:v>
      </x:c>
    </x:row>
    <x:row r="139" ht="19" customHeight="1">
      <x:c r="A139" s="14" t="str">
        <x:v>WO-0134</x:v>
      </x:c>
      <x:c r="B139" s="14" t="str">
        <x:v>MX25</x:v>
      </x:c>
      <x:c r="C139" s="14" t="n">
        <x:v>11</x:v>
      </x:c>
      <x:c r="D139" s="14" t="str">
        <x:v>2027-01-18</x:v>
      </x:c>
      <x:c r="E139" s="14" t="str">
        <x:v>2027-01-21</x:v>
      </x:c>
      <x:c r="F139" s="16" t="n">
        <x:v>21.6</x:v>
      </x:c>
      <x:c r="G139" s="14" t="str">
        <x:v>Simulated / planned</x:v>
      </x:c>
    </x:row>
    <x:row r="140" ht="19" customHeight="1">
      <x:c r="A140" s="14" t="str">
        <x:v>WO-0135</x:v>
      </x:c>
      <x:c r="B140" s="14" t="str">
        <x:v>MX25</x:v>
      </x:c>
      <x:c r="C140" s="14" t="n">
        <x:v>11</x:v>
      </x:c>
      <x:c r="D140" s="14" t="str">
        <x:v>2027-01-18</x:v>
      </x:c>
      <x:c r="E140" s="14" t="str">
        <x:v>2027-01-19</x:v>
      </x:c>
      <x:c r="F140" s="16" t="n">
        <x:v>21.1</x:v>
      </x:c>
      <x:c r="G140" s="14" t="str">
        <x:v>Simulated / planned</x:v>
      </x:c>
    </x:row>
    <x:row r="141" ht="19" customHeight="1">
      <x:c r="A141" s="14" t="str">
        <x:v>WO-0136</x:v>
      </x:c>
      <x:c r="B141" s="14" t="str">
        <x:v>MX35</x:v>
      </x:c>
      <x:c r="C141" s="14" t="n">
        <x:v>11</x:v>
      </x:c>
      <x:c r="D141" s="14" t="str">
        <x:v>2027-01-18</x:v>
      </x:c>
      <x:c r="E141" s="14" t="str">
        <x:v>2027-01-21</x:v>
      </x:c>
      <x:c r="F141" s="16" t="n">
        <x:v>15.2</x:v>
      </x:c>
      <x:c r="G141" s="14" t="str">
        <x:v>Simulated / planned</x:v>
      </x:c>
    </x:row>
    <x:row r="142" ht="19" customHeight="1">
      <x:c r="A142" s="14" t="str">
        <x:v>WO-0137</x:v>
      </x:c>
      <x:c r="B142" s="14" t="str">
        <x:v>MX35</x:v>
      </x:c>
      <x:c r="C142" s="14" t="n">
        <x:v>11</x:v>
      </x:c>
      <x:c r="D142" s="14" t="str">
        <x:v>2027-01-18</x:v>
      </x:c>
      <x:c r="E142" s="14" t="str">
        <x:v>2027-01-18</x:v>
      </x:c>
      <x:c r="F142" s="16" t="n">
        <x:v>14.9</x:v>
      </x:c>
      <x:c r="G142" s="14" t="str">
        <x:v>Simulated / planned</x:v>
      </x:c>
    </x:row>
    <x:row r="143" ht="19" customHeight="1">
      <x:c r="A143" s="14" t="str">
        <x:v>WO-0138</x:v>
      </x:c>
      <x:c r="B143" s="14" t="str">
        <x:v>MX35</x:v>
      </x:c>
      <x:c r="C143" s="14" t="n">
        <x:v>11</x:v>
      </x:c>
      <x:c r="D143" s="14" t="str">
        <x:v>2027-01-18</x:v>
      </x:c>
      <x:c r="E143" s="14" t="str">
        <x:v>2027-01-18</x:v>
      </x:c>
      <x:c r="F143" s="16" t="n">
        <x:v>19.5</x:v>
      </x:c>
      <x:c r="G143" s="14" t="str">
        <x:v>Simulated / planned</x:v>
      </x:c>
    </x:row>
    <x:row r="144" ht="19" customHeight="1">
      <x:c r="A144" s="14" t="str">
        <x:v>WO-0139</x:v>
      </x:c>
      <x:c r="B144" s="14" t="str">
        <x:v>MX45</x:v>
      </x:c>
      <x:c r="C144" s="14" t="n">
        <x:v>11</x:v>
      </x:c>
      <x:c r="D144" s="14" t="str">
        <x:v>2027-01-18</x:v>
      </x:c>
      <x:c r="E144" s="14" t="str">
        <x:v>2027-01-21</x:v>
      </x:c>
      <x:c r="F144" s="16" t="n">
        <x:v>18.9</x:v>
      </x:c>
      <x:c r="G144" s="14" t="str">
        <x:v>Simulated / planned</x:v>
      </x:c>
    </x:row>
    <x:row r="145" ht="19" customHeight="1">
      <x:c r="A145" s="14" t="str">
        <x:v>WO-0140</x:v>
      </x:c>
      <x:c r="B145" s="14" t="str">
        <x:v>MX45</x:v>
      </x:c>
      <x:c r="C145" s="14" t="n">
        <x:v>11</x:v>
      </x:c>
      <x:c r="D145" s="14" t="str">
        <x:v>2027-01-18</x:v>
      </x:c>
      <x:c r="E145" s="14" t="str">
        <x:v>2027-01-21</x:v>
      </x:c>
      <x:c r="F145" s="16" t="n">
        <x:v>21.3</x:v>
      </x:c>
      <x:c r="G145" s="14" t="str">
        <x:v>Simulated / planned</x:v>
      </x:c>
    </x:row>
    <x:row r="146" ht="19" customHeight="1">
      <x:c r="A146" s="14" t="str">
        <x:v>WO-0141</x:v>
      </x:c>
      <x:c r="B146" s="14" t="str">
        <x:v>MX45</x:v>
      </x:c>
      <x:c r="C146" s="14" t="n">
        <x:v>11</x:v>
      </x:c>
      <x:c r="D146" s="14" t="str">
        <x:v>2027-01-18</x:v>
      </x:c>
      <x:c r="E146" s="14" t="str">
        <x:v>2027-01-22</x:v>
      </x:c>
      <x:c r="F146" s="16" t="n">
        <x:v>12.3</x:v>
      </x:c>
      <x:c r="G146" s="14" t="str">
        <x:v>Simulated / planned</x:v>
      </x:c>
    </x:row>
    <x:row r="147" ht="19" customHeight="1">
      <x:c r="A147" s="14" t="str">
        <x:v>WO-0142</x:v>
      </x:c>
      <x:c r="B147" s="14" t="str">
        <x:v>MX55</x:v>
      </x:c>
      <x:c r="C147" s="14" t="n">
        <x:v>11</x:v>
      </x:c>
      <x:c r="D147" s="14" t="str">
        <x:v>2027-01-18</x:v>
      </x:c>
      <x:c r="E147" s="14" t="str">
        <x:v>2027-01-21</x:v>
      </x:c>
      <x:c r="F147" s="16" t="n">
        <x:v>15.5</x:v>
      </x:c>
      <x:c r="G147" s="14" t="str">
        <x:v>Simulated / planned</x:v>
      </x:c>
    </x:row>
    <x:row r="148" ht="19" customHeight="1">
      <x:c r="A148" s="14" t="str">
        <x:v>WO-0143</x:v>
      </x:c>
      <x:c r="B148" s="14" t="str">
        <x:v>MX55</x:v>
      </x:c>
      <x:c r="C148" s="14" t="n">
        <x:v>11</x:v>
      </x:c>
      <x:c r="D148" s="14" t="str">
        <x:v>2027-01-18</x:v>
      </x:c>
      <x:c r="E148" s="14" t="str">
        <x:v>2027-01-21</x:v>
      </x:c>
      <x:c r="F148" s="16" t="n">
        <x:v>23.3</x:v>
      </x:c>
      <x:c r="G148" s="14" t="str">
        <x:v>Simulated / planned</x:v>
      </x:c>
    </x:row>
    <x:row r="149" ht="19" customHeight="1">
      <x:c r="A149" s="14" t="str">
        <x:v>WO-0144</x:v>
      </x:c>
      <x:c r="B149" s="14" t="str">
        <x:v>MX55</x:v>
      </x:c>
      <x:c r="C149" s="14" t="n">
        <x:v>11</x:v>
      </x:c>
      <x:c r="D149" s="14" t="str">
        <x:v>2027-01-18</x:v>
      </x:c>
      <x:c r="E149" s="14" t="str">
        <x:v>2027-01-18</x:v>
      </x:c>
      <x:c r="F149" s="16" t="n">
        <x:v>24</x:v>
      </x:c>
      <x:c r="G149" s="14" t="str">
        <x:v>Simulated / planned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672a96f972b4450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2" customHeight="1">
      <x:c r="A1" s="3" t="str">
        <x:v>MATERIALS  |  SCENARIO 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6" t="str">
        <x:v>Original concrete dataset supplies mixture ingredients; inventory, lead times, order quantities and prices are simulated.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1" customHeight="1">
      <x:c r="A5" s="10" t="str">
        <x:v>material_id</x:v>
      </x:c>
      <x:c r="B5" s="10" t="str">
        <x:v>material_name</x:v>
      </x:c>
      <x:c r="C5" s="10" t="str">
        <x:v>primary_supplier</x:v>
      </x:c>
      <x:c r="D5" s="10" t="str">
        <x:v>lead_time_weeks</x:v>
      </x:c>
      <x:c r="E5" s="10" t="str">
        <x:v>moq_kg</x:v>
      </x:c>
      <x:c r="F5" s="10" t="str">
        <x:v>order_multiple_kg</x:v>
      </x:c>
      <x:c r="G5" s="10" t="str">
        <x:v>unit_cost_usd_per_kg</x:v>
      </x:c>
      <x:c r="H5" s="10" t="str">
        <x:v>safety_stock_kg</x:v>
      </x:c>
      <x:c r="I5" s="10" t="str">
        <x:v>lead_time_source</x:v>
      </x:c>
      <x:c r="J5" s="10" t="str">
        <x:v>price_source</x:v>
      </x:c>
    </x:row>
    <x:row r="6" ht="19" customHeight="1">
      <x:c r="A6" s="14" t="str">
        <x:v>cement</x:v>
      </x:c>
      <x:c r="B6" s="14" t="str">
        <x:v>Portland cement</x:v>
      </x:c>
      <x:c r="C6" s="14" t="str">
        <x:v>KilnWorks Materials</x:v>
      </x:c>
      <x:c r="D6" s="14" t="n">
        <x:v>2</x:v>
      </x:c>
      <x:c r="E6" s="16" t="n">
        <x:v>12000</x:v>
      </x:c>
      <x:c r="F6" s="16" t="n">
        <x:v>4000</x:v>
      </x:c>
      <x:c r="G6" s="18" t="n">
        <x:v>0.16</x:v>
      </x:c>
      <x:c r="H6" s="16" t="n">
        <x:v>20675.7</x:v>
      </x:c>
      <x:c r="I6" s="14" t="str">
        <x:v>Simulated</x:v>
      </x:c>
      <x:c r="J6" s="14" t="str">
        <x:v>Simulated</x:v>
      </x:c>
    </x:row>
    <x:row r="7" ht="19" customHeight="1">
      <x:c r="A7" s="14" t="str">
        <x:v>slag</x:v>
      </x:c>
      <x:c r="B7" s="14" t="str">
        <x:v>Ground blast furnace slag</x:v>
      </x:c>
      <x:c r="C7" s="14" t="str">
        <x:v>GreenBind Minerals</x:v>
      </x:c>
      <x:c r="D7" s="14" t="n">
        <x:v>3</x:v>
      </x:c>
      <x:c r="E7" s="16" t="n">
        <x:v>8000</x:v>
      </x:c>
      <x:c r="F7" s="16" t="n">
        <x:v>2000</x:v>
      </x:c>
      <x:c r="G7" s="18" t="n">
        <x:v>0.092</x:v>
      </x:c>
      <x:c r="H7" s="16" t="n">
        <x:v>13619.62</x:v>
      </x:c>
      <x:c r="I7" s="14" t="str">
        <x:v>Simulated</x:v>
      </x:c>
      <x:c r="J7" s="14" t="str">
        <x:v>Simulated</x:v>
      </x:c>
    </x:row>
    <x:row r="8" ht="19" customHeight="1">
      <x:c r="A8" s="14" t="str">
        <x:v>ash</x:v>
      </x:c>
      <x:c r="B8" s="14" t="str">
        <x:v>Fly ash</x:v>
      </x:c>
      <x:c r="C8" s="14" t="str">
        <x:v>EcoAsh Supply</x:v>
      </x:c>
      <x:c r="D8" s="14" t="n">
        <x:v>2</x:v>
      </x:c>
      <x:c r="E8" s="16" t="n">
        <x:v>5000</x:v>
      </x:c>
      <x:c r="F8" s="16" t="n">
        <x:v>1000</x:v>
      </x:c>
      <x:c r="G8" s="18" t="n">
        <x:v>0.083</x:v>
      </x:c>
      <x:c r="H8" s="16" t="n">
        <x:v>0</x:v>
      </x:c>
      <x:c r="I8" s="14" t="str">
        <x:v>Simulated</x:v>
      </x:c>
      <x:c r="J8" s="14" t="str">
        <x:v>Simulated</x:v>
      </x:c>
    </x:row>
    <x:row r="9" ht="19" customHeight="1">
      <x:c r="A9" s="14" t="str">
        <x:v>water</x:v>
      </x:c>
      <x:c r="B9" s="14" t="str">
        <x:v>Mixing water</x:v>
      </x:c>
      <x:c r="C9" s="14" t="str">
        <x:v>Plant Utility</x:v>
      </x:c>
      <x:c r="D9" s="14" t="n">
        <x:v>0</x:v>
      </x:c>
      <x:c r="E9" s="16" t="n">
        <x:v>5000</x:v>
      </x:c>
      <x:c r="F9" s="16" t="n">
        <x:v>1000</x:v>
      </x:c>
      <x:c r="G9" s="18" t="n">
        <x:v>0.004</x:v>
      </x:c>
      <x:c r="H9" s="16" t="n">
        <x:v>18228.92</x:v>
      </x:c>
      <x:c r="I9" s="14" t="str">
        <x:v>Simulated</x:v>
      </x:c>
      <x:c r="J9" s="14" t="str">
        <x:v>Simulated</x:v>
      </x:c>
    </x:row>
    <x:row r="10" ht="19" customHeight="1">
      <x:c r="A10" s="14" t="str">
        <x:v>superplastic</x:v>
      </x:c>
      <x:c r="B10" s="14" t="str">
        <x:v>Superplasticizer</x:v>
      </x:c>
      <x:c r="C10" s="14" t="str">
        <x:v>PolyMix Chemicals</x:v>
      </x:c>
      <x:c r="D10" s="14" t="n">
        <x:v>3</x:v>
      </x:c>
      <x:c r="E10" s="16" t="n">
        <x:v>500</x:v>
      </x:c>
      <x:c r="F10" s="16" t="n">
        <x:v>100</x:v>
      </x:c>
      <x:c r="G10" s="18" t="n">
        <x:v>2.35</x:v>
      </x:c>
      <x:c r="H10" s="16" t="n">
        <x:v>99.67</x:v>
      </x:c>
      <x:c r="I10" s="14" t="str">
        <x:v>Simulated</x:v>
      </x:c>
      <x:c r="J10" s="14" t="str">
        <x:v>Simulated</x:v>
      </x:c>
    </x:row>
    <x:row r="11" ht="19" customHeight="1">
      <x:c r="A11" s="14" t="str">
        <x:v>coarseagg</x:v>
      </x:c>
      <x:c r="B11" s="14" t="str">
        <x:v>Coarse aggregate</x:v>
      </x:c>
      <x:c r="C11" s="14" t="str">
        <x:v>Rockline Aggregates</x:v>
      </x:c>
      <x:c r="D11" s="14" t="n">
        <x:v>1</x:v>
      </x:c>
      <x:c r="E11" s="16" t="n">
        <x:v>30000</x:v>
      </x:c>
      <x:c r="F11" s="16" t="n">
        <x:v>10000</x:v>
      </x:c>
      <x:c r="G11" s="18" t="n">
        <x:v>0.027</x:v>
      </x:c>
      <x:c r="H11" s="16" t="n">
        <x:v>79492.73</x:v>
      </x:c>
      <x:c r="I11" s="14" t="str">
        <x:v>Simulated</x:v>
      </x:c>
      <x:c r="J11" s="14" t="str">
        <x:v>Simulated</x:v>
      </x:c>
    </x:row>
    <x:row r="12" ht="19" customHeight="1">
      <x:c r="A12" s="14" t="str">
        <x:v>fineagg</x:v>
      </x:c>
      <x:c r="B12" s="14" t="str">
        <x:v>Fine aggregate</x:v>
      </x:c>
      <x:c r="C12" s="14" t="str">
        <x:v>Sandway Supply</x:v>
      </x:c>
      <x:c r="D12" s="14" t="n">
        <x:v>1</x:v>
      </x:c>
      <x:c r="E12" s="16" t="n">
        <x:v>30000</x:v>
      </x:c>
      <x:c r="F12" s="16" t="n">
        <x:v>10000</x:v>
      </x:c>
      <x:c r="G12" s="18" t="n">
        <x:v>0.029</x:v>
      </x:c>
      <x:c r="H12" s="16" t="n">
        <x:v>63995.47</x:v>
      </x:c>
      <x:c r="I12" s="14" t="str">
        <x:v>Simulated</x:v>
      </x:c>
      <x:c r="J12" s="14" t="str">
        <x:v>Simulated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aa6f7725f36e46d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8" hidden="0" customWidth="1"/>
    <x:col min="4" max="4" width="18" hidden="0" customWidth="1"/>
    <x:col min="5" max="5" width="37" hidden="0" customWidth="1"/>
  </x:cols>
  <x:sheetData>
    <x:row r="1" ht="22" customHeight="1">
      <x:c r="A1" s="3" t="str">
        <x:v>BOM  |  SCENARIO DATA</x:v>
      </x:c>
      <x:c r="B1" s="3"/>
      <x:c r="C1" s="3"/>
      <x:c r="D1" s="3"/>
      <x:c r="E1" s="3"/>
    </x:row>
    <x:row r="2" ht="22" customHeight="1">
      <x:c r="A2" s="3"/>
      <x:c r="B2" s="3"/>
      <x:c r="C2" s="3"/>
      <x:c r="D2" s="3"/>
      <x:c r="E2" s="3"/>
    </x:row>
    <x:row r="3" ht="25" customHeight="1">
      <x:c r="A3" s="6" t="str">
        <x:v>Original concrete dataset supplies mixture ingredients; inventory, lead times, order quantities and prices are simulated.</x:v>
      </x:c>
      <x:c r="B3" s="6"/>
      <x:c r="C3" s="6"/>
      <x:c r="D3" s="6"/>
      <x:c r="E3" s="6"/>
    </x:row>
    <x:row r="5" ht="31" customHeight="1">
      <x:c r="A5" s="10" t="str">
        <x:v>product_id</x:v>
      </x:c>
      <x:c r="B5" s="10" t="str">
        <x:v>material_id</x:v>
      </x:c>
      <x:c r="C5" s="10" t="str">
        <x:v>kg_per_m3</x:v>
      </x:c>
      <x:c r="D5" s="10" t="str">
        <x:v>bom_uom</x:v>
      </x:c>
      <x:c r="E5" s="10" t="str">
        <x:v>source</x:v>
      </x:c>
    </x:row>
    <x:row r="6" ht="19" customHeight="1">
      <x:c r="A6" s="14" t="str">
        <x:v>MX25</x:v>
      </x:c>
      <x:c r="B6" s="14" t="str">
        <x:v>cement</x:v>
      </x:c>
      <x:c r="C6" s="16" t="n">
        <x:v>133</x:v>
      </x:c>
      <x:c r="D6" s="14" t="str">
        <x:v>kg per m3</x:v>
      </x:c>
      <x:c r="E6" s="14" t="str">
        <x:v>Observed concrete.csv 28-day recipe</x:v>
      </x:c>
    </x:row>
    <x:row r="7" ht="19" customHeight="1">
      <x:c r="A7" s="14" t="str">
        <x:v>MX25</x:v>
      </x:c>
      <x:c r="B7" s="14" t="str">
        <x:v>slag</x:v>
      </x:c>
      <x:c r="C7" s="16" t="n">
        <x:v>200</x:v>
      </x:c>
      <x:c r="D7" s="14" t="str">
        <x:v>kg per m3</x:v>
      </x:c>
      <x:c r="E7" s="14" t="str">
        <x:v>Observed concrete.csv 28-day recipe</x:v>
      </x:c>
    </x:row>
    <x:row r="8" ht="19" customHeight="1">
      <x:c r="A8" s="14" t="str">
        <x:v>MX25</x:v>
      </x:c>
      <x:c r="B8" s="14" t="str">
        <x:v>ash</x:v>
      </x:c>
      <x:c r="C8" s="16" t="n">
        <x:v>0</x:v>
      </x:c>
      <x:c r="D8" s="14" t="str">
        <x:v>kg per m3</x:v>
      </x:c>
      <x:c r="E8" s="14" t="str">
        <x:v>Observed concrete.csv 28-day recipe</x:v>
      </x:c>
    </x:row>
    <x:row r="9" ht="19" customHeight="1">
      <x:c r="A9" s="14" t="str">
        <x:v>MX25</x:v>
      </x:c>
      <x:c r="B9" s="14" t="str">
        <x:v>water</x:v>
      </x:c>
      <x:c r="C9" s="16" t="n">
        <x:v>192</x:v>
      </x:c>
      <x:c r="D9" s="14" t="str">
        <x:v>kg per m3</x:v>
      </x:c>
      <x:c r="E9" s="14" t="str">
        <x:v>Observed concrete.csv 28-day recipe</x:v>
      </x:c>
    </x:row>
    <x:row r="10" ht="19" customHeight="1">
      <x:c r="A10" s="14" t="str">
        <x:v>MX25</x:v>
      </x:c>
      <x:c r="B10" s="14" t="str">
        <x:v>superplastic</x:v>
      </x:c>
      <x:c r="C10" s="16" t="n">
        <x:v>0</x:v>
      </x:c>
      <x:c r="D10" s="14" t="str">
        <x:v>kg per m3</x:v>
      </x:c>
      <x:c r="E10" s="14" t="str">
        <x:v>Observed concrete.csv 28-day recipe</x:v>
      </x:c>
    </x:row>
    <x:row r="11" ht="19" customHeight="1">
      <x:c r="A11" s="14" t="str">
        <x:v>MX25</x:v>
      </x:c>
      <x:c r="B11" s="14" t="str">
        <x:v>coarseagg</x:v>
      </x:c>
      <x:c r="C11" s="16" t="n">
        <x:v>927.4</x:v>
      </x:c>
      <x:c r="D11" s="14" t="str">
        <x:v>kg per m3</x:v>
      </x:c>
      <x:c r="E11" s="14" t="str">
        <x:v>Observed concrete.csv 28-day recipe</x:v>
      </x:c>
    </x:row>
    <x:row r="12" ht="19" customHeight="1">
      <x:c r="A12" s="14" t="str">
        <x:v>MX25</x:v>
      </x:c>
      <x:c r="B12" s="14" t="str">
        <x:v>fineagg</x:v>
      </x:c>
      <x:c r="C12" s="16" t="n">
        <x:v>839.2</x:v>
      </x:c>
      <x:c r="D12" s="14" t="str">
        <x:v>kg per m3</x:v>
      </x:c>
      <x:c r="E12" s="14" t="str">
        <x:v>Observed concrete.csv 28-day recipe</x:v>
      </x:c>
    </x:row>
    <x:row r="13" ht="19" customHeight="1">
      <x:c r="A13" s="14" t="str">
        <x:v>MX35</x:v>
      </x:c>
      <x:c r="B13" s="14" t="str">
        <x:v>cement</x:v>
      </x:c>
      <x:c r="C13" s="16" t="n">
        <x:v>190</x:v>
      </x:c>
      <x:c r="D13" s="14" t="str">
        <x:v>kg per m3</x:v>
      </x:c>
      <x:c r="E13" s="14" t="str">
        <x:v>Observed concrete.csv 28-day recipe</x:v>
      </x:c>
    </x:row>
    <x:row r="14" ht="19" customHeight="1">
      <x:c r="A14" s="14" t="str">
        <x:v>MX35</x:v>
      </x:c>
      <x:c r="B14" s="14" t="str">
        <x:v>slag</x:v>
      </x:c>
      <x:c r="C14" s="16" t="n">
        <x:v>190</x:v>
      </x:c>
      <x:c r="D14" s="14" t="str">
        <x:v>kg per m3</x:v>
      </x:c>
      <x:c r="E14" s="14" t="str">
        <x:v>Observed concrete.csv 28-day recipe</x:v>
      </x:c>
    </x:row>
    <x:row r="15" ht="19" customHeight="1">
      <x:c r="A15" s="14" t="str">
        <x:v>MX35</x:v>
      </x:c>
      <x:c r="B15" s="14" t="str">
        <x:v>ash</x:v>
      </x:c>
      <x:c r="C15" s="16" t="n">
        <x:v>0</x:v>
      </x:c>
      <x:c r="D15" s="14" t="str">
        <x:v>kg per m3</x:v>
      </x:c>
      <x:c r="E15" s="14" t="str">
        <x:v>Observed concrete.csv 28-day recipe</x:v>
      </x:c>
    </x:row>
    <x:row r="16" ht="19" customHeight="1">
      <x:c r="A16" s="14" t="str">
        <x:v>MX35</x:v>
      </x:c>
      <x:c r="B16" s="14" t="str">
        <x:v>water</x:v>
      </x:c>
      <x:c r="C16" s="16" t="n">
        <x:v>228</x:v>
      </x:c>
      <x:c r="D16" s="14" t="str">
        <x:v>kg per m3</x:v>
      </x:c>
      <x:c r="E16" s="14" t="str">
        <x:v>Observed concrete.csv 28-day recipe</x:v>
      </x:c>
    </x:row>
    <x:row r="17" ht="19" customHeight="1">
      <x:c r="A17" s="14" t="str">
        <x:v>MX35</x:v>
      </x:c>
      <x:c r="B17" s="14" t="str">
        <x:v>superplastic</x:v>
      </x:c>
      <x:c r="C17" s="16" t="n">
        <x:v>0</x:v>
      </x:c>
      <x:c r="D17" s="14" t="str">
        <x:v>kg per m3</x:v>
      </x:c>
      <x:c r="E17" s="14" t="str">
        <x:v>Observed concrete.csv 28-day recipe</x:v>
      </x:c>
    </x:row>
    <x:row r="18" ht="19" customHeight="1">
      <x:c r="A18" s="14" t="str">
        <x:v>MX35</x:v>
      </x:c>
      <x:c r="B18" s="14" t="str">
        <x:v>coarseagg</x:v>
      </x:c>
      <x:c r="C18" s="16" t="n">
        <x:v>932</x:v>
      </x:c>
      <x:c r="D18" s="14" t="str">
        <x:v>kg per m3</x:v>
      </x:c>
      <x:c r="E18" s="14" t="str">
        <x:v>Observed concrete.csv 28-day recipe</x:v>
      </x:c>
    </x:row>
    <x:row r="19" ht="19" customHeight="1">
      <x:c r="A19" s="14" t="str">
        <x:v>MX35</x:v>
      </x:c>
      <x:c r="B19" s="14" t="str">
        <x:v>fineagg</x:v>
      </x:c>
      <x:c r="C19" s="16" t="n">
        <x:v>670</x:v>
      </x:c>
      <x:c r="D19" s="14" t="str">
        <x:v>kg per m3</x:v>
      </x:c>
      <x:c r="E19" s="14" t="str">
        <x:v>Observed concrete.csv 28-day recipe</x:v>
      </x:c>
    </x:row>
    <x:row r="20" ht="19" customHeight="1">
      <x:c r="A20" s="14" t="str">
        <x:v>MX45</x:v>
      </x:c>
      <x:c r="B20" s="14" t="str">
        <x:v>cement</x:v>
      </x:c>
      <x:c r="C20" s="16" t="n">
        <x:v>304</x:v>
      </x:c>
      <x:c r="D20" s="14" t="str">
        <x:v>kg per m3</x:v>
      </x:c>
      <x:c r="E20" s="14" t="str">
        <x:v>Observed concrete.csv 28-day recipe</x:v>
      </x:c>
    </x:row>
    <x:row r="21" ht="19" customHeight="1">
      <x:c r="A21" s="14" t="str">
        <x:v>MX45</x:v>
      </x:c>
      <x:c r="B21" s="14" t="str">
        <x:v>slag</x:v>
      </x:c>
      <x:c r="C21" s="16" t="n">
        <x:v>76</x:v>
      </x:c>
      <x:c r="D21" s="14" t="str">
        <x:v>kg per m3</x:v>
      </x:c>
      <x:c r="E21" s="14" t="str">
        <x:v>Observed concrete.csv 28-day recipe</x:v>
      </x:c>
    </x:row>
    <x:row r="22" ht="19" customHeight="1">
      <x:c r="A22" s="14" t="str">
        <x:v>MX45</x:v>
      </x:c>
      <x:c r="B22" s="14" t="str">
        <x:v>ash</x:v>
      </x:c>
      <x:c r="C22" s="16" t="n">
        <x:v>0</x:v>
      </x:c>
      <x:c r="D22" s="14" t="str">
        <x:v>kg per m3</x:v>
      </x:c>
      <x:c r="E22" s="14" t="str">
        <x:v>Observed concrete.csv 28-day recipe</x:v>
      </x:c>
    </x:row>
    <x:row r="23" ht="19" customHeight="1">
      <x:c r="A23" s="14" t="str">
        <x:v>MX45</x:v>
      </x:c>
      <x:c r="B23" s="14" t="str">
        <x:v>water</x:v>
      </x:c>
      <x:c r="C23" s="16" t="n">
        <x:v>228</x:v>
      </x:c>
      <x:c r="D23" s="14" t="str">
        <x:v>kg per m3</x:v>
      </x:c>
      <x:c r="E23" s="14" t="str">
        <x:v>Observed concrete.csv 28-day recipe</x:v>
      </x:c>
    </x:row>
    <x:row r="24" ht="19" customHeight="1">
      <x:c r="A24" s="14" t="str">
        <x:v>MX45</x:v>
      </x:c>
      <x:c r="B24" s="14" t="str">
        <x:v>superplastic</x:v>
      </x:c>
      <x:c r="C24" s="16" t="n">
        <x:v>0</x:v>
      </x:c>
      <x:c r="D24" s="14" t="str">
        <x:v>kg per m3</x:v>
      </x:c>
      <x:c r="E24" s="14" t="str">
        <x:v>Observed concrete.csv 28-day recipe</x:v>
      </x:c>
    </x:row>
    <x:row r="25" ht="19" customHeight="1">
      <x:c r="A25" s="14" t="str">
        <x:v>MX45</x:v>
      </x:c>
      <x:c r="B25" s="14" t="str">
        <x:v>coarseagg</x:v>
      </x:c>
      <x:c r="C25" s="16" t="n">
        <x:v>932</x:v>
      </x:c>
      <x:c r="D25" s="14" t="str">
        <x:v>kg per m3</x:v>
      </x:c>
      <x:c r="E25" s="14" t="str">
        <x:v>Observed concrete.csv 28-day recipe</x:v>
      </x:c>
    </x:row>
    <x:row r="26" ht="19" customHeight="1">
      <x:c r="A26" s="14" t="str">
        <x:v>MX45</x:v>
      </x:c>
      <x:c r="B26" s="14" t="str">
        <x:v>fineagg</x:v>
      </x:c>
      <x:c r="C26" s="16" t="n">
        <x:v>670</x:v>
      </x:c>
      <x:c r="D26" s="14" t="str">
        <x:v>kg per m3</x:v>
      </x:c>
      <x:c r="E26" s="14" t="str">
        <x:v>Observed concrete.csv 28-day recipe</x:v>
      </x:c>
    </x:row>
    <x:row r="27" ht="19" customHeight="1">
      <x:c r="A27" s="14" t="str">
        <x:v>MX55</x:v>
      </x:c>
      <x:c r="B27" s="14" t="str">
        <x:v>cement</x:v>
      </x:c>
      <x:c r="C27" s="16" t="n">
        <x:v>321.3</x:v>
      </x:c>
      <x:c r="D27" s="14" t="str">
        <x:v>kg per m3</x:v>
      </x:c>
      <x:c r="E27" s="14" t="str">
        <x:v>Observed concrete.csv 28-day recipe</x:v>
      </x:c>
    </x:row>
    <x:row r="28" ht="19" customHeight="1">
      <x:c r="A28" s="14" t="str">
        <x:v>MX55</x:v>
      </x:c>
      <x:c r="B28" s="14" t="str">
        <x:v>slag</x:v>
      </x:c>
      <x:c r="C28" s="16" t="n">
        <x:v>164.2</x:v>
      </x:c>
      <x:c r="D28" s="14" t="str">
        <x:v>kg per m3</x:v>
      </x:c>
      <x:c r="E28" s="14" t="str">
        <x:v>Observed concrete.csv 28-day recipe</x:v>
      </x:c>
    </x:row>
    <x:row r="29" ht="19" customHeight="1">
      <x:c r="A29" s="14" t="str">
        <x:v>MX55</x:v>
      </x:c>
      <x:c r="B29" s="14" t="str">
        <x:v>ash</x:v>
      </x:c>
      <x:c r="C29" s="16" t="n">
        <x:v>0</x:v>
      </x:c>
      <x:c r="D29" s="14" t="str">
        <x:v>kg per m3</x:v>
      </x:c>
      <x:c r="E29" s="14" t="str">
        <x:v>Observed concrete.csv 28-day recipe</x:v>
      </x:c>
    </x:row>
    <x:row r="30" ht="19" customHeight="1">
      <x:c r="A30" s="14" t="str">
        <x:v>MX55</x:v>
      </x:c>
      <x:c r="B30" s="14" t="str">
        <x:v>water</x:v>
      </x:c>
      <x:c r="C30" s="16" t="n">
        <x:v>190.5</x:v>
      </x:c>
      <x:c r="D30" s="14" t="str">
        <x:v>kg per m3</x:v>
      </x:c>
      <x:c r="E30" s="14" t="str">
        <x:v>Observed concrete.csv 28-day recipe</x:v>
      </x:c>
    </x:row>
    <x:row r="31" ht="19" customHeight="1">
      <x:c r="A31" s="14" t="str">
        <x:v>MX55</x:v>
      </x:c>
      <x:c r="B31" s="14" t="str">
        <x:v>superplastic</x:v>
      </x:c>
      <x:c r="C31" s="16" t="n">
        <x:v>4.6</x:v>
      </x:c>
      <x:c r="D31" s="14" t="str">
        <x:v>kg per m3</x:v>
      </x:c>
      <x:c r="E31" s="14" t="str">
        <x:v>Observed concrete.csv 28-day recipe</x:v>
      </x:c>
    </x:row>
    <x:row r="32" ht="19" customHeight="1">
      <x:c r="A32" s="14" t="str">
        <x:v>MX55</x:v>
      </x:c>
      <x:c r="B32" s="14" t="str">
        <x:v>coarseagg</x:v>
      </x:c>
      <x:c r="C32" s="16" t="n">
        <x:v>870</x:v>
      </x:c>
      <x:c r="D32" s="14" t="str">
        <x:v>kg per m3</x:v>
      </x:c>
      <x:c r="E32" s="14" t="str">
        <x:v>Observed concrete.csv 28-day recipe</x:v>
      </x:c>
    </x:row>
    <x:row r="33" ht="19" customHeight="1">
      <x:c r="A33" s="14" t="str">
        <x:v>MX55</x:v>
      </x:c>
      <x:c r="B33" s="14" t="str">
        <x:v>fineagg</x:v>
      </x:c>
      <x:c r="C33" s="16" t="n">
        <x:v>774</x:v>
      </x:c>
      <x:c r="D33" s="14" t="str">
        <x:v>kg per m3</x:v>
      </x:c>
      <x:c r="E33" s="14" t="str">
        <x:v>Observed concrete.csv 28-day recipe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c4c71bad085242f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1" hidden="0" customWidth="1"/>
  </x:cols>
  <x:sheetData>
    <x:row r="1" ht="22" customHeight="1">
      <x:c r="A1" s="3" t="str">
        <x:v>PRODUCTS  |  SCENARIO DATA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5" customHeight="1">
      <x:c r="A3" s="6" t="str">
        <x:v>Original concrete dataset supplies mixture ingredients; inventory, lead times, order quantities and prices are simulated.</x:v>
      </x:c>
      <x:c r="B3" s="6"/>
      <x:c r="C3" s="6"/>
      <x:c r="D3" s="6"/>
      <x:c r="E3" s="6"/>
      <x:c r="F3" s="6"/>
      <x:c r="G3" s="6"/>
    </x:row>
    <x:row r="5" ht="31" customHeight="1">
      <x:c r="A5" s="10" t="str">
        <x:v>product_id</x:v>
      </x:c>
      <x:c r="B5" s="10" t="str">
        <x:v>product_name</x:v>
      </x:c>
      <x:c r="C5" s="10" t="str">
        <x:v>target_strength_mpa</x:v>
      </x:c>
      <x:c r="D5" s="10" t="str">
        <x:v>observed_28d_strength_mpa</x:v>
      </x:c>
      <x:c r="E5" s="10" t="str">
        <x:v>source_test_rows</x:v>
      </x:c>
      <x:c r="F5" s="10" t="str">
        <x:v>material_cost_usd_m3</x:v>
      </x:c>
      <x:c r="G5" s="10" t="str">
        <x:v>recipe_status</x:v>
      </x:c>
    </x:row>
    <x:row r="6" ht="19" customHeight="1">
      <x:c r="A6" s="14" t="str">
        <x:v>MX25</x:v>
      </x:c>
      <x:c r="B6" s="14" t="str">
        <x:v>Illustrative 25 MPa mix</x:v>
      </x:c>
      <x:c r="C6" s="16" t="n">
        <x:v>25</x:v>
      </x:c>
      <x:c r="D6" s="16" t="n">
        <x:v>27.87</x:v>
      </x:c>
      <x:c r="E6" s="14" t="n">
        <x:v>1</x:v>
      </x:c>
      <x:c r="F6" s="18" t="n">
        <x:v>89.82</x:v>
      </x:c>
      <x:c r="G6" s="14" t="str">
        <x:v>Research example; not certified for structural use</x:v>
      </x:c>
    </x:row>
    <x:row r="7" ht="19" customHeight="1">
      <x:c r="A7" s="14" t="str">
        <x:v>MX35</x:v>
      </x:c>
      <x:c r="B7" s="14" t="str">
        <x:v>Illustrative 35 MPa mix</x:v>
      </x:c>
      <x:c r="C7" s="16" t="n">
        <x:v>35</x:v>
      </x:c>
      <x:c r="D7" s="16" t="n">
        <x:v>40.86</x:v>
      </x:c>
      <x:c r="E7" s="14" t="n">
        <x:v>1</x:v>
      </x:c>
      <x:c r="F7" s="18" t="n">
        <x:v>93.39</x:v>
      </x:c>
      <x:c r="G7" s="14" t="str">
        <x:v>Research example; not certified for structural use</x:v>
      </x:c>
    </x:row>
    <x:row r="8" ht="19" customHeight="1">
      <x:c r="A8" s="14" t="str">
        <x:v>MX45</x:v>
      </x:c>
      <x:c r="B8" s="14" t="str">
        <x:v>Illustrative 45 MPa mix</x:v>
      </x:c>
      <x:c r="C8" s="16" t="n">
        <x:v>45</x:v>
      </x:c>
      <x:c r="D8" s="16" t="n">
        <x:v>47.81</x:v>
      </x:c>
      <x:c r="E8" s="14" t="n">
        <x:v>1</x:v>
      </x:c>
      <x:c r="F8" s="18" t="n">
        <x:v>101.14</x:v>
      </x:c>
      <x:c r="G8" s="14" t="str">
        <x:v>Research example; not certified for structural use</x:v>
      </x:c>
    </x:row>
    <x:row r="9" ht="19" customHeight="1">
      <x:c r="A9" s="14" t="str">
        <x:v>MX55</x:v>
      </x:c>
      <x:c r="B9" s="14" t="str">
        <x:v>Illustrative 55 MPa mix</x:v>
      </x:c>
      <x:c r="C9" s="16" t="n">
        <x:v>55</x:v>
      </x:c>
      <x:c r="D9" s="16" t="n">
        <x:v>57.22</x:v>
      </x:c>
      <x:c r="E9" s="14" t="n">
        <x:v>1</x:v>
      </x:c>
      <x:c r="F9" s="18" t="n">
        <x:v>124.02</x:v>
      </x:c>
      <x:c r="G9" s="14" t="str">
        <x:v>Research example; not certified for structural use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4d1af1485677467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4" customHeight="1">
      <x:c r="A1" s="24" t="str">
        <x:v>MANUFACTURING MATERIALS  |  MRP EXECUTIVE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 ht="24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 ht="29" customHeight="1">
      <x:c r="A3" s="26" t="str">
        <x:v>12-week simulated concrete MRP • Data planning date: Oct 21, 2026 • Source BOM from concrete.csv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5" ht="24" customHeight="1">
      <x:c r="A5" s="9" t="str">
        <x:v>WORK ORDERS</x:v>
      </x:c>
      <x:c r="B5" s="9"/>
      <x:c r="C5" s="9"/>
      <x:c r="D5" s="9" t="str">
        <x:v>PRODUCTION m³</x:v>
      </x:c>
      <x:c r="E5" s="9"/>
      <x:c r="F5" s="9"/>
      <x:c r="G5" s="9" t="str">
        <x:v>GROSS DEMAND t</x:v>
      </x:c>
      <x:c r="H5" s="9"/>
      <x:c r="I5" s="9"/>
      <x:c r="J5" s="9" t="str">
        <x:v>PURCHASE VALUE $</x:v>
      </x:c>
      <x:c r="K5" s="9"/>
      <x:c r="L5" s="9"/>
    </x:row>
    <x:row r="6" ht="25" customHeight="1">
      <x:c r="A6" s="32" t="n">
        <x:f>COUNTA(Production_Orders!A6:A149)</x:f>
        <x:v>144</x:v>
      </x:c>
      <x:c r="B6" s="29"/>
      <x:c r="C6" s="29"/>
      <x:c r="D6" s="34" t="n">
        <x:f>SUM(Production_Orders!F6:F149)</x:f>
        <x:v>2977.3</x:v>
      </x:c>
      <x:c r="E6" s="29"/>
      <x:c r="F6" s="29"/>
      <x:c r="G6" s="34" t="n">
        <x:f>SUM(MRP_Weekly!F6:F89)/1000</x:f>
        <x:v>6723.843739999999</x:v>
      </x:c>
      <x:c r="H6" s="29"/>
      <x:c r="I6" s="29"/>
      <x:c r="J6" s="36" t="n">
        <x:f>SUM(Purchase_Plan!K6:K72)</x:f>
        <x:v>275391</x:v>
      </x:c>
      <x:c r="K6" s="29"/>
      <x:c r="L6" s="29"/>
    </x:row>
    <x:row r="7" ht="25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 ht="25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11" ht="28" customHeight="1">
      <x:c r="A11" s="20" t="str">
        <x:v>WEEK START</x:v>
      </x:c>
      <x:c r="B11" s="20" t="str">
        <x:v>DEMAND (t)</x:v>
      </x:c>
      <x:c r="C11" s="20" t="str">
        <x:v>SHORTAGE FLAGS</x:v>
      </x:c>
      <x:c r="D11" s="20" t="str">
        <x:v>LATE RELEASES</x:v>
      </x:c>
    </x:row>
    <x:row r="12">
      <x:c r="A12" t="str">
        <x:v>2026-11-02</x:v>
      </x:c>
      <x:c r="B12" s="38" t="n">
        <x:f>SUMIF(MRP_Weekly!$D$6:$D$89,A12,MRP_Weekly!$F$6:$F$89)/1000</x:f>
        <x:v>570.16498</x:v>
      </x:c>
      <x:c r="C12" s="40" t="n">
        <x:f>SUMIF(MRP_Weekly!$D$6:$D$89,A12,MRP_Weekly!$U$6:$U$89)</x:f>
        <x:v>2</x:v>
      </x:c>
      <x:c r="D12" s="40" t="n">
        <x:f>SUMIF(MRP_Weekly!$D$6:$D$89,A12,MRP_Weekly!$M$6:$M$89)</x:f>
        <x:v>3</x:v>
      </x:c>
    </x:row>
    <x:row r="13">
      <x:c r="A13" t="str">
        <x:v>2026-11-09</x:v>
      </x:c>
      <x:c r="B13" s="38" t="n">
        <x:f>SUMIF(MRP_Weekly!$D$6:$D$89,A13,MRP_Weekly!$F$6:$F$89)/1000</x:f>
        <x:v>600.8213000000001</x:v>
      </x:c>
      <x:c r="C13" s="40" t="n">
        <x:f>SUMIF(MRP_Weekly!$D$6:$D$89,A13,MRP_Weekly!$U$6:$U$89)</x:f>
        <x:v>2</x:v>
      </x:c>
      <x:c r="D13" s="40" t="n">
        <x:f>SUMIF(MRP_Weekly!$D$6:$D$89,A13,MRP_Weekly!$M$6:$M$89)</x:f>
        <x:v>2</x:v>
      </x:c>
    </x:row>
    <x:row r="14">
      <x:c r="A14" t="str">
        <x:v>2026-11-16</x:v>
      </x:c>
      <x:c r="B14" s="38" t="n">
        <x:f>SUMIF(MRP_Weekly!$D$6:$D$89,A14,MRP_Weekly!$F$6:$F$89)/1000</x:f>
        <x:v>546.14698</x:v>
      </x:c>
      <x:c r="C14" s="40" t="n">
        <x:f>SUMIF(MRP_Weekly!$D$6:$D$89,A14,MRP_Weekly!$U$6:$U$89)</x:f>
        <x:v>0</x:v>
      </x:c>
      <x:c r="D14" s="40" t="n">
        <x:f>SUMIF(MRP_Weekly!$D$6:$D$89,A14,MRP_Weekly!$M$6:$M$89)</x:f>
        <x:v>0</x:v>
      </x:c>
    </x:row>
    <x:row r="15">
      <x:c r="A15" t="str">
        <x:v>2026-11-23</x:v>
      </x:c>
      <x:c r="B15" s="38" t="n">
        <x:f>SUMIF(MRP_Weekly!$D$6:$D$89,A15,MRP_Weekly!$F$6:$F$89)/1000</x:f>
        <x:v>628.99428</x:v>
      </x:c>
      <x:c r="C15" s="40" t="n">
        <x:f>SUMIF(MRP_Weekly!$D$6:$D$89,A15,MRP_Weekly!$U$6:$U$89)</x:f>
        <x:v>0</x:v>
      </x:c>
      <x:c r="D15" s="40" t="n">
        <x:f>SUMIF(MRP_Weekly!$D$6:$D$89,A15,MRP_Weekly!$M$6:$M$89)</x:f>
        <x:v>0</x:v>
      </x:c>
    </x:row>
    <x:row r="16">
      <x:c r="A16" t="str">
        <x:v>2026-11-30</x:v>
      </x:c>
      <x:c r="B16" s="38" t="n">
        <x:f>SUMIF(MRP_Weekly!$D$6:$D$89,A16,MRP_Weekly!$F$6:$F$89)/1000</x:f>
        <x:v>633.91754</x:v>
      </x:c>
      <x:c r="C16" s="40" t="n">
        <x:f>SUMIF(MRP_Weekly!$D$6:$D$89,A16,MRP_Weekly!$U$6:$U$89)</x:f>
        <x:v>0</x:v>
      </x:c>
      <x:c r="D16" s="40" t="n">
        <x:f>SUMIF(MRP_Weekly!$D$6:$D$89,A16,MRP_Weekly!$M$6:$M$89)</x:f>
        <x:v>0</x:v>
      </x:c>
    </x:row>
    <x:row r="17">
      <x:c r="A17" t="str">
        <x:v>2026-12-07</x:v>
      </x:c>
      <x:c r="B17" s="38" t="n">
        <x:f>SUMIF(MRP_Weekly!$D$6:$D$89,A17,MRP_Weekly!$F$6:$F$89)/1000</x:f>
        <x:v>574.28606</x:v>
      </x:c>
      <x:c r="C17" s="40" t="n">
        <x:f>SUMIF(MRP_Weekly!$D$6:$D$89,A17,MRP_Weekly!$U$6:$U$89)</x:f>
        <x:v>0</x:v>
      </x:c>
      <x:c r="D17" s="40" t="n">
        <x:f>SUMIF(MRP_Weekly!$D$6:$D$89,A17,MRP_Weekly!$M$6:$M$89)</x:f>
        <x:v>0</x:v>
      </x:c>
    </x:row>
    <x:row r="18">
      <x:c r="A18" t="str">
        <x:v>2026-12-14</x:v>
      </x:c>
      <x:c r="B18" s="38" t="n">
        <x:f>SUMIF(MRP_Weekly!$D$6:$D$89,A18,MRP_Weekly!$F$6:$F$89)/1000</x:f>
        <x:v>548.78966</x:v>
      </x:c>
      <x:c r="C18" s="40" t="n">
        <x:f>SUMIF(MRP_Weekly!$D$6:$D$89,A18,MRP_Weekly!$U$6:$U$89)</x:f>
        <x:v>0</x:v>
      </x:c>
      <x:c r="D18" s="40" t="n">
        <x:f>SUMIF(MRP_Weekly!$D$6:$D$89,A18,MRP_Weekly!$M$6:$M$89)</x:f>
        <x:v>0</x:v>
      </x:c>
    </x:row>
    <x:row r="19">
      <x:c r="A19" t="str">
        <x:v>2026-12-21</x:v>
      </x:c>
      <x:c r="B19" s="38" t="n">
        <x:f>SUMIF(MRP_Weekly!$D$6:$D$89,A19,MRP_Weekly!$F$6:$F$89)/1000</x:f>
        <x:v>553.98174</x:v>
      </x:c>
      <x:c r="C19" s="40" t="n">
        <x:f>SUMIF(MRP_Weekly!$D$6:$D$89,A19,MRP_Weekly!$U$6:$U$89)</x:f>
        <x:v>0</x:v>
      </x:c>
      <x:c r="D19" s="40" t="n">
        <x:f>SUMIF(MRP_Weekly!$D$6:$D$89,A19,MRP_Weekly!$M$6:$M$89)</x:f>
        <x:v>0</x:v>
      </x:c>
    </x:row>
    <x:row r="20">
      <x:c r="A20" t="str">
        <x:v>2026-12-28</x:v>
      </x:c>
      <x:c r="B20" s="38" t="n">
        <x:f>SUMIF(MRP_Weekly!$D$6:$D$89,A20,MRP_Weekly!$F$6:$F$89)/1000</x:f>
        <x:v>503.80792</x:v>
      </x:c>
      <x:c r="C20" s="40" t="n">
        <x:f>SUMIF(MRP_Weekly!$D$6:$D$89,A20,MRP_Weekly!$U$6:$U$89)</x:f>
        <x:v>0</x:v>
      </x:c>
      <x:c r="D20" s="40" t="n">
        <x:f>SUMIF(MRP_Weekly!$D$6:$D$89,A20,MRP_Weekly!$M$6:$M$89)</x:f>
        <x:v>0</x:v>
      </x:c>
    </x:row>
    <x:row r="21">
      <x:c r="A21" t="str">
        <x:v>2027-01-04</x:v>
      </x:c>
      <x:c r="B21" s="38" t="n">
        <x:f>SUMIF(MRP_Weekly!$D$6:$D$89,A21,MRP_Weekly!$F$6:$F$89)/1000</x:f>
        <x:v>500.91542000000004</x:v>
      </x:c>
      <x:c r="C21" s="40" t="n">
        <x:f>SUMIF(MRP_Weekly!$D$6:$D$89,A21,MRP_Weekly!$U$6:$U$89)</x:f>
        <x:v>0</x:v>
      </x:c>
      <x:c r="D21" s="40" t="n">
        <x:f>SUMIF(MRP_Weekly!$D$6:$D$89,A21,MRP_Weekly!$M$6:$M$89)</x:f>
        <x:v>0</x:v>
      </x:c>
    </x:row>
    <x:row r="22">
      <x:c r="A22" t="str">
        <x:v>2027-01-11</x:v>
      </x:c>
      <x:c r="B22" s="38" t="n">
        <x:f>SUMIF(MRP_Weekly!$D$6:$D$89,A22,MRP_Weekly!$F$6:$F$89)/1000</x:f>
        <x:v>544.87538</x:v>
      </x:c>
      <x:c r="C22" s="40" t="n">
        <x:f>SUMIF(MRP_Weekly!$D$6:$D$89,A22,MRP_Weekly!$U$6:$U$89)</x:f>
        <x:v>0</x:v>
      </x:c>
      <x:c r="D22" s="40" t="n">
        <x:f>SUMIF(MRP_Weekly!$D$6:$D$89,A22,MRP_Weekly!$M$6:$M$89)</x:f>
        <x:v>0</x:v>
      </x:c>
    </x:row>
    <x:row r="23">
      <x:c r="A23" t="str">
        <x:v>2027-01-18</x:v>
      </x:c>
      <x:c r="B23" s="38" t="n">
        <x:f>SUMIF(MRP_Weekly!$D$6:$D$89,A23,MRP_Weekly!$F$6:$F$89)/1000</x:f>
        <x:v>517.14248</x:v>
      </x:c>
      <x:c r="C23" s="40" t="n">
        <x:f>SUMIF(MRP_Weekly!$D$6:$D$89,A23,MRP_Weekly!$U$6:$U$89)</x:f>
        <x:v>0</x:v>
      </x:c>
      <x:c r="D23" s="40" t="n">
        <x:f>SUMIF(MRP_Weekly!$D$6:$D$89,A23,MRP_Weekly!$M$6:$M$89)</x:f>
        <x:v>0</x:v>
      </x:c>
    </x:row>
    <x:row r="27" ht="26" customHeight="1">
      <x:c r="A27" s="44" t="str">
        <x:v>METHOD NOTE  •  MRP suggested receipts cover safety stock subject to MOQ / lot multiple. Late-release POs are shifted to earliest standard-lead-time delivery.</x:v>
      </x:c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</x:row>
    <x:row r="28" ht="26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</x:row>
    <x:row r="30" ht="26" customHeight="1">
      <x:c r="A30" s="49" t="str">
        <x:v>DATA NOTE  •  Original mix quantities and compressive strength are experimental observations. Production demand, stock, suppliers, lead times and costs are all synthetic.</x:v>
      </x:c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</x:row>
    <x:row r="31" ht="26" customHeight="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</x:row>
  </x:sheetData>
  <x:mergeCells>
    <x:mergeCell ref="A1:M2"/>
    <x:mergeCell ref="A3:M3"/>
    <x:mergeCell ref="A5:C5"/>
    <x:mergeCell ref="A6:C8"/>
    <x:mergeCell ref="D5:F5"/>
    <x:mergeCell ref="D6:F8"/>
    <x:mergeCell ref="G5:I5"/>
    <x:mergeCell ref="G6:I8"/>
    <x:mergeCell ref="J5:L5"/>
    <x:mergeCell ref="J6:L8"/>
    <x:mergeCell ref="A27:M28"/>
    <x:mergeCell ref="A30:M31"/>
  </x:mergeCells>
  <x:pageMargins left="0.7" right="0.7" top="0.75" bottom="0.75" header="0.3" footer="0.3"/>
  <x:drawing xmlns:r="http://schemas.openxmlformats.org/officeDocument/2006/relationships" r:id="R884d201a459c458c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19" hidden="0" customWidth="1"/>
    <x:col min="4" max="4" width="61" hidden="0" customWidth="1"/>
    <x:col min="5" max="5" width="32" hidden="0" customWidth="1"/>
  </x:cols>
  <x:sheetData>
    <x:row r="1" ht="23" customHeight="1">
      <x:c r="A1" s="3" t="str">
        <x:v>MODEL ASSUMPTIONS &amp; DATA LINEAGE</x:v>
      </x:c>
      <x:c r="B1" s="3"/>
      <x:c r="C1" s="3"/>
      <x:c r="D1" s="3"/>
      <x:c r="E1" s="3"/>
    </x:row>
    <x:row r="2" ht="23" customHeight="1">
      <x:c r="A2" s="3"/>
      <x:c r="B2" s="3"/>
      <x:c r="C2" s="3"/>
      <x:c r="D2" s="3"/>
      <x:c r="E2" s="3"/>
    </x:row>
    <x:row r="4" ht="28" customHeight="1">
      <x:c r="A4" s="20" t="str">
        <x:v>Setting</x:v>
      </x:c>
      <x:c r="B4" s="20" t="str">
        <x:v>Value</x:v>
      </x:c>
      <x:c r="C4" s="20" t="str">
        <x:v>Type</x:v>
      </x:c>
      <x:c r="D4" s="20" t="str">
        <x:v>Detail</x:v>
      </x:c>
      <x:c r="E4" s="20" t="str">
        <x:v>Source</x:v>
      </x:c>
    </x:row>
    <x:row r="5" ht="29" customHeight="1">
      <x:c r="A5" t="str">
        <x:v>Original observations</x:v>
      </x:c>
      <x:c r="B5" t="n">
        <x:v>1030</x:v>
      </x:c>
      <x:c r="C5" t="str">
        <x:v>Observed</x:v>
      </x:c>
      <x:c r="D5" s="52" t="str">
        <x:v>Concrete mixture ingredients, curing days, strength</x:v>
      </x:c>
      <x:c r="E5" t="str">
        <x:v>UCI / uploaded concrete.csv</x:v>
      </x:c>
    </x:row>
    <x:row r="6" ht="29" customHeight="1">
      <x:c r="A6" t="str">
        <x:v>28-day observations</x:v>
      </x:c>
      <x:c r="B6" t="n">
        <x:v>425</x:v>
      </x:c>
      <x:c r="C6" t="str">
        <x:v>Observed</x:v>
      </x:c>
      <x:c r="D6" s="52" t="str">
        <x:v>Used for demonstration mix recipes</x:v>
      </x:c>
      <x:c r="E6" t="str">
        <x:v>UCI / uploaded concrete.csv</x:v>
      </x:c>
    </x:row>
    <x:row r="7" ht="29" customHeight="1">
      <x:c r="A7" t="str">
        <x:v>Planning as-of</x:v>
      </x:c>
      <x:c r="B7" t="str">
        <x:v>2026-10-21</x:v>
      </x:c>
      <x:c r="C7" t="str">
        <x:v>Scenario</x:v>
      </x:c>
      <x:c r="D7" s="52" t="str">
        <x:v>Late release comparison cutoff</x:v>
      </x:c>
      <x:c r="E7" t="str">
        <x:v>Scenario</x:v>
      </x:c>
    </x:row>
    <x:row r="8" ht="29" customHeight="1">
      <x:c r="A8" t="str">
        <x:v>Production start</x:v>
      </x:c>
      <x:c r="B8" t="str">
        <x:v>2026-11-02</x:v>
      </x:c>
      <x:c r="C8" t="str">
        <x:v>Scenario</x:v>
      </x:c>
      <x:c r="D8" s="52" t="str">
        <x:v>First weekly bucket</x:v>
      </x:c>
      <x:c r="E8" t="str">
        <x:v>Scenario</x:v>
      </x:c>
    </x:row>
    <x:row r="9" ht="29" customHeight="1">
      <x:c r="A9" t="str">
        <x:v>Planning horizon weeks</x:v>
      </x:c>
      <x:c r="B9" t="n">
        <x:v>12</x:v>
      </x:c>
      <x:c r="C9" t="str">
        <x:v>Scenario</x:v>
      </x:c>
      <x:c r="D9" s="52" t="str">
        <x:v>Week starts on Monday</x:v>
      </x:c>
      <x:c r="E9" t="str">
        <x:v>Scenario</x:v>
      </x:c>
    </x:row>
    <x:row r="10" ht="29" customHeight="1">
      <x:c r="A10" t="str">
        <x:v>Products</x:v>
      </x:c>
      <x:c r="B10" t="n">
        <x:v>4</x:v>
      </x:c>
      <x:c r="C10" t="str">
        <x:v>Derived</x:v>
      </x:c>
      <x:c r="D10" s="52" t="str">
        <x:v>Illustrative 25/35/45/55 MPa targets</x:v>
      </x:c>
      <x:c r="E10" t="str">
        <x:v>Observed 28-day rows</x:v>
      </x:c>
    </x:row>
    <x:row r="11" ht="29" customHeight="1">
      <x:c r="A11" t="str">
        <x:v>Work orders</x:v>
      </x:c>
      <x:c r="B11" t="n">
        <x:v>144</x:v>
      </x:c>
      <x:c r="C11" t="str">
        <x:v>Simulated</x:v>
      </x:c>
      <x:c r="D11" s="52" t="str">
        <x:v>3 orders per product/week</x:v>
      </x:c>
      <x:c r="E11" t="str">
        <x:v>NumPy seeded</x:v>
      </x:c>
    </x:row>
    <x:row r="12" ht="29" customHeight="1">
      <x:c r="A12" t="str">
        <x:v>Material pricing</x:v>
      </x:c>
      <x:c r="B12" t="str">
        <x:v>USD/kg</x:v>
      </x:c>
      <x:c r="C12" t="str">
        <x:v>Simulated</x:v>
      </x:c>
      <x:c r="D12" s="52" t="str">
        <x:v>Illustrative only; no supplier quotes</x:v>
      </x:c>
      <x:c r="E12" t="str">
        <x:v>Material master</x:v>
      </x:c>
    </x:row>
    <x:row r="13" ht="29" customHeight="1">
      <x:c r="A13" t="str">
        <x:v>Lead time</x:v>
      </x:c>
      <x:c r="B13" t="str">
        <x:v>0–3 weeks</x:v>
      </x:c>
      <x:c r="C13" t="str">
        <x:v>Simulated</x:v>
      </x:c>
      <x:c r="D13" s="52" t="str">
        <x:v>Primary suppliers</x:v>
      </x:c>
      <x:c r="E13" t="str">
        <x:v>Material master</x:v>
      </x:c>
    </x:row>
    <x:row r="14" ht="29" customHeight="1">
      <x:c r="A14" t="str">
        <x:v>Safety stock</x:v>
      </x:c>
      <x:c r="B14" t="str">
        <x:v>0.35× average weekly demand</x:v>
      </x:c>
      <x:c r="C14" t="str">
        <x:v>Scenario</x:v>
      </x:c>
      <x:c r="D14" s="52" t="str">
        <x:v>Deterministic planning policy</x:v>
      </x:c>
      <x:c r="E14" t="str">
        <x:v>Pipeline</x:v>
      </x:c>
    </x:row>
    <x:row r="15" ht="29" customHeight="1">
      <x:c r="A15" t="str">
        <x:v>MOQ &amp; order lot</x:v>
      </x:c>
      <x:c r="B15" t="str">
        <x:v>By material</x:v>
      </x:c>
      <x:c r="C15" t="str">
        <x:v>Simulated</x:v>
      </x:c>
      <x:c r="D15" s="52" t="str">
        <x:v>Round receipts up to lot multiple</x:v>
      </x:c>
      <x:c r="E15" t="str">
        <x:v>Material master</x:v>
      </x:c>
    </x:row>
    <x:row r="16" ht="29" customHeight="1">
      <x:c r="A16" t="str">
        <x:v>Late releases</x:v>
      </x:c>
      <x:c r="B16" t="str">
        <x:v>Release before as-of</x:v>
      </x:c>
      <x:c r="C16" t="str">
        <x:v>Derived</x:v>
      </x:c>
      <x:c r="D16" s="52" t="str">
        <x:v>Delay to earliest feasible weekly bucket</x:v>
      </x:c>
      <x:c r="E16" t="str">
        <x:v>Pipeline</x:v>
      </x:c>
    </x:row>
    <x:row r="17" ht="29" customHeight="1">
      <x:c r="A17" t="str">
        <x:v>Baseline projected inventory</x:v>
      </x:c>
      <x:c r="B17" t="str">
        <x:v>Opening + existing receipts – gross</x:v>
      </x:c>
      <x:c r="C17" t="str">
        <x:v>Derived</x:v>
      </x:c>
      <x:c r="D17" s="52" t="str">
        <x:v>No newly recommended purchases</x:v>
      </x:c>
      <x:c r="E17" t="str">
        <x:v>Pipeline</x:v>
      </x:c>
    </x:row>
    <x:row r="18" ht="29" customHeight="1">
      <x:c r="A18" t="str">
        <x:v>Feasible projected inventory</x:v>
      </x:c>
      <x:c r="B18" t="str">
        <x:v>Opening + scheduled + lead-feasible purchases – gross</x:v>
      </x:c>
      <x:c r="C18" t="str">
        <x:v>Derived</x:v>
      </x:c>
      <x:c r="D18" s="52" t="str">
        <x:v>Late receipts rescheduled, not treated as on-time</x:v>
      </x:c>
      <x:c r="E18" t="str">
        <x:v>Pipeline</x:v>
      </x:c>
    </x:row>
    <x:row r="19" ht="29" customHeight="1">
      <x:c r="A19" t="str">
        <x:v>Backlog</x:v>
      </x:c>
      <x:c r="B19" t="str">
        <x:v>Max(0, –projected stock)</x:v>
      </x:c>
      <x:c r="C19" t="str">
        <x:v>Derived</x:v>
      </x:c>
      <x:c r="D19" s="52" t="str">
        <x:v>Snapshot by week, NOT summed across weeks</x:v>
      </x:c>
      <x:c r="E19" t="str">
        <x:v>Pipeline</x:v>
      </x:c>
    </x:row>
    <x:row r="20" ht="29" customHeight="1">
      <x:c r="A20" t="str">
        <x:v>Research/design caveat</x:v>
      </x:c>
      <x:c r="B20" t="str">
        <x:v>Not certified</x:v>
      </x:c>
      <x:c r="C20" t="str">
        <x:v>Warning</x:v>
      </x:c>
      <x:c r="D20" s="52" t="str">
        <x:v>Measured lab strengths do not certify production-grade concrete</x:v>
      </x:c>
      <x:c r="E20" t="str">
        <x:v>README</x:v>
      </x:c>
    </x:row>
  </x:sheetData>
  <x:mergeCells>
    <x:mergeCell ref="A1:E2"/>
  </x:mergeCells>
  <x:pageMargins left="0.7" right="0.7" top="0.75" bottom="0.75" header="0.3" footer="0.3"/>
</x:worksheet>
</file>